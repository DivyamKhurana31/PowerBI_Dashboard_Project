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39F570B-88F1-48FA-8762-80484F7E8BA5}" xr6:coauthVersionLast="47" xr6:coauthVersionMax="47" xr10:uidLastSave="{00000000-0000-0000-0000-000000000000}"/>
  <bookViews>
    <workbookView xWindow="-110" yWindow="-110" windowWidth="19420" windowHeight="10420" xr2:uid="{1AAB035D-EAEE-412D-AC2B-A77888E9A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J10" i="1" s="1"/>
  <c r="H11" i="1"/>
  <c r="H12" i="1"/>
  <c r="H13" i="1"/>
  <c r="H14" i="1"/>
  <c r="H15" i="1"/>
  <c r="H16" i="1"/>
  <c r="H17" i="1"/>
  <c r="H18" i="1"/>
  <c r="I18" i="1" s="1"/>
  <c r="H19" i="1"/>
  <c r="H20" i="1"/>
  <c r="H21" i="1"/>
  <c r="H22" i="1"/>
  <c r="H23" i="1"/>
  <c r="H24" i="1"/>
  <c r="H25" i="1"/>
  <c r="H26" i="1"/>
  <c r="I26" i="1" s="1"/>
  <c r="H27" i="1"/>
  <c r="H28" i="1"/>
  <c r="H29" i="1"/>
  <c r="H30" i="1"/>
  <c r="H31" i="1"/>
  <c r="H32" i="1"/>
  <c r="H33" i="1"/>
  <c r="H34" i="1"/>
  <c r="J34" i="1" s="1"/>
  <c r="H35" i="1"/>
  <c r="H36" i="1"/>
  <c r="H37" i="1"/>
  <c r="H38" i="1"/>
  <c r="H39" i="1"/>
  <c r="H40" i="1"/>
  <c r="H41" i="1"/>
  <c r="H42" i="1"/>
  <c r="J42" i="1" s="1"/>
  <c r="H43" i="1"/>
  <c r="H44" i="1"/>
  <c r="H45" i="1"/>
  <c r="H46" i="1"/>
  <c r="H47" i="1"/>
  <c r="H48" i="1"/>
  <c r="H49" i="1"/>
  <c r="H50" i="1"/>
  <c r="J50" i="1" s="1"/>
  <c r="H51" i="1"/>
  <c r="H52" i="1"/>
  <c r="H53" i="1"/>
  <c r="H54" i="1"/>
  <c r="H55" i="1"/>
  <c r="H56" i="1"/>
  <c r="H57" i="1"/>
  <c r="H58" i="1"/>
  <c r="I58" i="1" s="1"/>
  <c r="H59" i="1"/>
  <c r="H60" i="1"/>
  <c r="H61" i="1"/>
  <c r="H62" i="1"/>
  <c r="H63" i="1"/>
  <c r="H64" i="1"/>
  <c r="H65" i="1"/>
  <c r="H66" i="1"/>
  <c r="I66" i="1" s="1"/>
  <c r="H67" i="1"/>
  <c r="H68" i="1"/>
  <c r="H69" i="1"/>
  <c r="H70" i="1"/>
  <c r="H71" i="1"/>
  <c r="H72" i="1"/>
  <c r="H73" i="1"/>
  <c r="H74" i="1"/>
  <c r="J74" i="1" s="1"/>
  <c r="H75" i="1"/>
  <c r="H76" i="1"/>
  <c r="H77" i="1"/>
  <c r="H78" i="1"/>
  <c r="H79" i="1"/>
  <c r="H80" i="1"/>
  <c r="H81" i="1"/>
  <c r="H82" i="1"/>
  <c r="I82" i="1" s="1"/>
  <c r="H83" i="1"/>
  <c r="H84" i="1"/>
  <c r="H85" i="1"/>
  <c r="H86" i="1"/>
  <c r="H87" i="1"/>
  <c r="H88" i="1"/>
  <c r="H89" i="1"/>
  <c r="H90" i="1"/>
  <c r="I90" i="1" s="1"/>
  <c r="H91" i="1"/>
  <c r="H92" i="1"/>
  <c r="H93" i="1"/>
  <c r="H94" i="1"/>
  <c r="H95" i="1"/>
  <c r="H96" i="1"/>
  <c r="H97" i="1"/>
  <c r="H98" i="1"/>
  <c r="J98" i="1" s="1"/>
  <c r="H99" i="1"/>
  <c r="H100" i="1"/>
  <c r="H101" i="1"/>
  <c r="H102" i="1"/>
  <c r="H103" i="1"/>
  <c r="H104" i="1"/>
  <c r="H105" i="1"/>
  <c r="H106" i="1"/>
  <c r="J106" i="1" s="1"/>
  <c r="H107" i="1"/>
  <c r="H108" i="1"/>
  <c r="H109" i="1"/>
  <c r="H110" i="1"/>
  <c r="H111" i="1"/>
  <c r="H112" i="1"/>
  <c r="H113" i="1"/>
  <c r="H114" i="1"/>
  <c r="J114" i="1" s="1"/>
  <c r="H115" i="1"/>
  <c r="H116" i="1"/>
  <c r="H117" i="1"/>
  <c r="H118" i="1"/>
  <c r="H119" i="1"/>
  <c r="H120" i="1"/>
  <c r="H121" i="1"/>
  <c r="H122" i="1"/>
  <c r="I122" i="1" s="1"/>
  <c r="H123" i="1"/>
  <c r="H124" i="1"/>
  <c r="H125" i="1"/>
  <c r="H126" i="1"/>
  <c r="H127" i="1"/>
  <c r="H128" i="1"/>
  <c r="H129" i="1"/>
  <c r="H130" i="1"/>
  <c r="I130" i="1" s="1"/>
  <c r="H131" i="1"/>
  <c r="H132" i="1"/>
  <c r="H133" i="1"/>
  <c r="H134" i="1"/>
  <c r="H135" i="1"/>
  <c r="H136" i="1"/>
  <c r="H137" i="1"/>
  <c r="H138" i="1"/>
  <c r="J138" i="1" s="1"/>
  <c r="H139" i="1"/>
  <c r="H140" i="1"/>
  <c r="H141" i="1"/>
  <c r="H142" i="1"/>
  <c r="H143" i="1"/>
  <c r="H144" i="1"/>
  <c r="H145" i="1"/>
  <c r="H146" i="1"/>
  <c r="J146" i="1" s="1"/>
  <c r="H147" i="1"/>
  <c r="H148" i="1"/>
  <c r="H149" i="1"/>
  <c r="H150" i="1"/>
  <c r="H151" i="1"/>
  <c r="H152" i="1"/>
  <c r="H153" i="1"/>
  <c r="H154" i="1"/>
  <c r="I154" i="1" s="1"/>
  <c r="H155" i="1"/>
  <c r="H156" i="1"/>
  <c r="H157" i="1"/>
  <c r="H158" i="1"/>
  <c r="H159" i="1"/>
  <c r="H160" i="1"/>
  <c r="H161" i="1"/>
  <c r="H162" i="1"/>
  <c r="J162" i="1" s="1"/>
  <c r="H163" i="1"/>
  <c r="H164" i="1"/>
  <c r="H165" i="1"/>
  <c r="H166" i="1"/>
  <c r="H167" i="1"/>
  <c r="H168" i="1"/>
  <c r="H169" i="1"/>
  <c r="H170" i="1"/>
  <c r="J170" i="1" s="1"/>
  <c r="H171" i="1"/>
  <c r="H172" i="1"/>
  <c r="H173" i="1"/>
  <c r="H174" i="1"/>
  <c r="H175" i="1"/>
  <c r="H176" i="1"/>
  <c r="H177" i="1"/>
  <c r="H178" i="1"/>
  <c r="J178" i="1" s="1"/>
  <c r="H179" i="1"/>
  <c r="H180" i="1"/>
  <c r="H181" i="1"/>
  <c r="H182" i="1"/>
  <c r="H183" i="1"/>
  <c r="H184" i="1"/>
  <c r="H185" i="1"/>
  <c r="H186" i="1"/>
  <c r="J186" i="1" s="1"/>
  <c r="H187" i="1"/>
  <c r="H188" i="1"/>
  <c r="H189" i="1"/>
  <c r="H190" i="1"/>
  <c r="H191" i="1"/>
  <c r="H192" i="1"/>
  <c r="H193" i="1"/>
  <c r="H194" i="1"/>
  <c r="I194" i="1" s="1"/>
  <c r="H195" i="1"/>
  <c r="H196" i="1"/>
  <c r="H197" i="1"/>
  <c r="H198" i="1"/>
  <c r="H199" i="1"/>
  <c r="H200" i="1"/>
  <c r="H201" i="1"/>
  <c r="H202" i="1"/>
  <c r="J202" i="1" s="1"/>
  <c r="H203" i="1"/>
  <c r="H204" i="1"/>
  <c r="H205" i="1"/>
  <c r="H206" i="1"/>
  <c r="H207" i="1"/>
  <c r="H208" i="1"/>
  <c r="H209" i="1"/>
  <c r="H210" i="1"/>
  <c r="J210" i="1" s="1"/>
  <c r="H211" i="1"/>
  <c r="H212" i="1"/>
  <c r="H213" i="1"/>
  <c r="H214" i="1"/>
  <c r="H215" i="1"/>
  <c r="H216" i="1"/>
  <c r="H217" i="1"/>
  <c r="H218" i="1"/>
  <c r="I218" i="1" s="1"/>
  <c r="H219" i="1"/>
  <c r="H220" i="1"/>
  <c r="H221" i="1"/>
  <c r="H222" i="1"/>
  <c r="H223" i="1"/>
  <c r="H224" i="1"/>
  <c r="H225" i="1"/>
  <c r="H226" i="1"/>
  <c r="I226" i="1" s="1"/>
  <c r="H227" i="1"/>
  <c r="H228" i="1"/>
  <c r="H229" i="1"/>
  <c r="H230" i="1"/>
  <c r="H231" i="1"/>
  <c r="H232" i="1"/>
  <c r="H233" i="1"/>
  <c r="H234" i="1"/>
  <c r="J234" i="1" s="1"/>
  <c r="H235" i="1"/>
  <c r="H236" i="1"/>
  <c r="H237" i="1"/>
  <c r="H238" i="1"/>
  <c r="H239" i="1"/>
  <c r="H240" i="1"/>
  <c r="H241" i="1"/>
  <c r="H242" i="1"/>
  <c r="J242" i="1" s="1"/>
  <c r="H243" i="1"/>
  <c r="H244" i="1"/>
  <c r="H245" i="1"/>
  <c r="H246" i="1"/>
  <c r="H247" i="1"/>
  <c r="H248" i="1"/>
  <c r="H249" i="1"/>
  <c r="H250" i="1"/>
  <c r="I250" i="1" s="1"/>
  <c r="H251" i="1"/>
  <c r="H252" i="1"/>
  <c r="H253" i="1"/>
  <c r="H254" i="1"/>
  <c r="H255" i="1"/>
  <c r="H256" i="1"/>
  <c r="H257" i="1"/>
  <c r="H258" i="1"/>
  <c r="J258" i="1" s="1"/>
  <c r="H259" i="1"/>
  <c r="H260" i="1"/>
  <c r="H261" i="1"/>
  <c r="H262" i="1"/>
  <c r="H263" i="1"/>
  <c r="H264" i="1"/>
  <c r="H265" i="1"/>
  <c r="H266" i="1"/>
  <c r="J266" i="1" s="1"/>
  <c r="H267" i="1"/>
  <c r="H268" i="1"/>
  <c r="H269" i="1"/>
  <c r="H270" i="1"/>
  <c r="H271" i="1"/>
  <c r="H272" i="1"/>
  <c r="H273" i="1"/>
  <c r="H274" i="1"/>
  <c r="J274" i="1" s="1"/>
  <c r="H275" i="1"/>
  <c r="H276" i="1"/>
  <c r="H277" i="1"/>
  <c r="H278" i="1"/>
  <c r="H279" i="1"/>
  <c r="H280" i="1"/>
  <c r="H281" i="1"/>
  <c r="H282" i="1"/>
  <c r="I282" i="1" s="1"/>
  <c r="H283" i="1"/>
  <c r="H284" i="1"/>
  <c r="H285" i="1"/>
  <c r="H286" i="1"/>
  <c r="H287" i="1"/>
  <c r="H288" i="1"/>
  <c r="H289" i="1"/>
  <c r="H290" i="1"/>
  <c r="I290" i="1" s="1"/>
  <c r="H291" i="1"/>
  <c r="H292" i="1"/>
  <c r="H293" i="1"/>
  <c r="H294" i="1"/>
  <c r="H295" i="1"/>
  <c r="H296" i="1"/>
  <c r="H297" i="1"/>
  <c r="H298" i="1"/>
  <c r="J298" i="1" s="1"/>
  <c r="H299" i="1"/>
  <c r="H300" i="1"/>
  <c r="H301" i="1"/>
  <c r="H302" i="1"/>
  <c r="H303" i="1"/>
  <c r="H304" i="1"/>
  <c r="H305" i="1"/>
  <c r="H306" i="1"/>
  <c r="J306" i="1" s="1"/>
  <c r="H307" i="1"/>
  <c r="H308" i="1"/>
  <c r="H309" i="1"/>
  <c r="H310" i="1"/>
  <c r="H311" i="1"/>
  <c r="H312" i="1"/>
  <c r="H313" i="1"/>
  <c r="I313" i="1" s="1"/>
  <c r="H314" i="1"/>
  <c r="I314" i="1" s="1"/>
  <c r="H315" i="1"/>
  <c r="H316" i="1"/>
  <c r="H317" i="1"/>
  <c r="H318" i="1"/>
  <c r="H319" i="1"/>
  <c r="H320" i="1"/>
  <c r="H321" i="1"/>
  <c r="H322" i="1"/>
  <c r="J322" i="1" s="1"/>
  <c r="H323" i="1"/>
  <c r="H324" i="1"/>
  <c r="H325" i="1"/>
  <c r="H326" i="1"/>
  <c r="H327" i="1"/>
  <c r="H328" i="1"/>
  <c r="H329" i="1"/>
  <c r="H330" i="1"/>
  <c r="J330" i="1" s="1"/>
  <c r="H331" i="1"/>
  <c r="H332" i="1"/>
  <c r="H333" i="1"/>
  <c r="H334" i="1"/>
  <c r="H335" i="1"/>
  <c r="H336" i="1"/>
  <c r="H337" i="1"/>
  <c r="H338" i="1"/>
  <c r="J338" i="1" s="1"/>
  <c r="H339" i="1"/>
  <c r="H340" i="1"/>
  <c r="H341" i="1"/>
  <c r="H342" i="1"/>
  <c r="H343" i="1"/>
  <c r="H344" i="1"/>
  <c r="H345" i="1"/>
  <c r="H346" i="1"/>
  <c r="I346" i="1" s="1"/>
  <c r="H347" i="1"/>
  <c r="H348" i="1"/>
  <c r="H349" i="1"/>
  <c r="H350" i="1"/>
  <c r="H351" i="1"/>
  <c r="H352" i="1"/>
  <c r="I352" i="1" s="1"/>
  <c r="H353" i="1"/>
  <c r="H354" i="1"/>
  <c r="I354" i="1" s="1"/>
  <c r="H355" i="1"/>
  <c r="H356" i="1"/>
  <c r="H357" i="1"/>
  <c r="H358" i="1"/>
  <c r="H359" i="1"/>
  <c r="H360" i="1"/>
  <c r="H361" i="1"/>
  <c r="H362" i="1"/>
  <c r="J362" i="1" s="1"/>
  <c r="H363" i="1"/>
  <c r="H364" i="1"/>
  <c r="H365" i="1"/>
  <c r="H366" i="1"/>
  <c r="H367" i="1"/>
  <c r="H368" i="1"/>
  <c r="H369" i="1"/>
  <c r="H370" i="1"/>
  <c r="J370" i="1" s="1"/>
  <c r="H371" i="1"/>
  <c r="H372" i="1"/>
  <c r="H373" i="1"/>
  <c r="H374" i="1"/>
  <c r="H375" i="1"/>
  <c r="H376" i="1"/>
  <c r="H377" i="1"/>
  <c r="H378" i="1"/>
  <c r="I378" i="1" s="1"/>
  <c r="H379" i="1"/>
  <c r="H380" i="1"/>
  <c r="H381" i="1"/>
  <c r="H382" i="1"/>
  <c r="H383" i="1"/>
  <c r="H384" i="1"/>
  <c r="H385" i="1"/>
  <c r="H386" i="1"/>
  <c r="J386" i="1" s="1"/>
  <c r="H387" i="1"/>
  <c r="H388" i="1"/>
  <c r="H389" i="1"/>
  <c r="H390" i="1"/>
  <c r="H391" i="1"/>
  <c r="H392" i="1"/>
  <c r="H393" i="1"/>
  <c r="J393" i="1" s="1"/>
  <c r="H394" i="1"/>
  <c r="J394" i="1" s="1"/>
  <c r="H395" i="1"/>
  <c r="H396" i="1"/>
  <c r="H397" i="1"/>
  <c r="H398" i="1"/>
  <c r="H399" i="1"/>
  <c r="H400" i="1"/>
  <c r="H401" i="1"/>
  <c r="H402" i="1"/>
  <c r="J402" i="1" s="1"/>
  <c r="H403" i="1"/>
  <c r="H404" i="1"/>
  <c r="H405" i="1"/>
  <c r="H406" i="1"/>
  <c r="H407" i="1"/>
  <c r="H408" i="1"/>
  <c r="H409" i="1"/>
  <c r="H410" i="1"/>
  <c r="I410" i="1" s="1"/>
  <c r="H411" i="1"/>
  <c r="H412" i="1"/>
  <c r="H413" i="1"/>
  <c r="H414" i="1"/>
  <c r="H415" i="1"/>
  <c r="H416" i="1"/>
  <c r="H417" i="1"/>
  <c r="H418" i="1"/>
  <c r="J418" i="1" s="1"/>
  <c r="H419" i="1"/>
  <c r="H420" i="1"/>
  <c r="H421" i="1"/>
  <c r="H422" i="1"/>
  <c r="H423" i="1"/>
  <c r="H424" i="1"/>
  <c r="H425" i="1"/>
  <c r="H426" i="1"/>
  <c r="J426" i="1" s="1"/>
  <c r="H427" i="1"/>
  <c r="H428" i="1"/>
  <c r="H429" i="1"/>
  <c r="H430" i="1"/>
  <c r="H431" i="1"/>
  <c r="H432" i="1"/>
  <c r="I432" i="1" s="1"/>
  <c r="H433" i="1"/>
  <c r="H434" i="1"/>
  <c r="J434" i="1" s="1"/>
  <c r="H435" i="1"/>
  <c r="H436" i="1"/>
  <c r="H437" i="1"/>
  <c r="H438" i="1"/>
  <c r="H439" i="1"/>
  <c r="H440" i="1"/>
  <c r="H441" i="1"/>
  <c r="H442" i="1"/>
  <c r="J442" i="1" s="1"/>
  <c r="H443" i="1"/>
  <c r="H444" i="1"/>
  <c r="H445" i="1"/>
  <c r="H446" i="1"/>
  <c r="H447" i="1"/>
  <c r="H448" i="1"/>
  <c r="H449" i="1"/>
  <c r="I449" i="1" s="1"/>
  <c r="H450" i="1"/>
  <c r="I450" i="1" s="1"/>
  <c r="H451" i="1"/>
  <c r="H452" i="1"/>
  <c r="H453" i="1"/>
  <c r="H454" i="1"/>
  <c r="H455" i="1"/>
  <c r="H456" i="1"/>
  <c r="J456" i="1" s="1"/>
  <c r="H457" i="1"/>
  <c r="H458" i="1"/>
  <c r="I458" i="1" s="1"/>
  <c r="H459" i="1"/>
  <c r="H460" i="1"/>
  <c r="H461" i="1"/>
  <c r="H462" i="1"/>
  <c r="H463" i="1"/>
  <c r="H464" i="1"/>
  <c r="J464" i="1" s="1"/>
  <c r="H465" i="1"/>
  <c r="H466" i="1"/>
  <c r="J466" i="1" s="1"/>
  <c r="H467" i="1"/>
  <c r="H468" i="1"/>
  <c r="H469" i="1"/>
  <c r="H470" i="1"/>
  <c r="H471" i="1"/>
  <c r="H472" i="1"/>
  <c r="J472" i="1" s="1"/>
  <c r="H473" i="1"/>
  <c r="H474" i="1"/>
  <c r="J474" i="1" s="1"/>
  <c r="H475" i="1"/>
  <c r="H476" i="1"/>
  <c r="H477" i="1"/>
  <c r="H478" i="1"/>
  <c r="H479" i="1"/>
  <c r="H480" i="1"/>
  <c r="H481" i="1"/>
  <c r="I481" i="1" s="1"/>
  <c r="H482" i="1"/>
  <c r="I482" i="1" s="1"/>
  <c r="H483" i="1"/>
  <c r="H484" i="1"/>
  <c r="H485" i="1"/>
  <c r="H486" i="1"/>
  <c r="H487" i="1"/>
  <c r="H488" i="1"/>
  <c r="J488" i="1" s="1"/>
  <c r="H489" i="1"/>
  <c r="H490" i="1"/>
  <c r="J490" i="1" s="1"/>
  <c r="H491" i="1"/>
  <c r="H492" i="1"/>
  <c r="H493" i="1"/>
  <c r="H494" i="1"/>
  <c r="H495" i="1"/>
  <c r="H496" i="1"/>
  <c r="H497" i="1"/>
  <c r="J497" i="1" s="1"/>
  <c r="H498" i="1"/>
  <c r="J498" i="1" s="1"/>
  <c r="H499" i="1"/>
  <c r="H500" i="1"/>
  <c r="H2" i="1"/>
  <c r="I8" i="1"/>
  <c r="I9" i="1"/>
  <c r="J16" i="1"/>
  <c r="I17" i="1"/>
  <c r="J25" i="1"/>
  <c r="J32" i="1"/>
  <c r="J33" i="1"/>
  <c r="J40" i="1"/>
  <c r="J41" i="1"/>
  <c r="J48" i="1"/>
  <c r="J49" i="1"/>
  <c r="J56" i="1"/>
  <c r="I57" i="1"/>
  <c r="I64" i="1"/>
  <c r="J65" i="1"/>
  <c r="J72" i="1"/>
  <c r="J73" i="1"/>
  <c r="J80" i="1"/>
  <c r="I81" i="1"/>
  <c r="I89" i="1"/>
  <c r="J97" i="1"/>
  <c r="J104" i="1"/>
  <c r="J105" i="1"/>
  <c r="J112" i="1"/>
  <c r="I113" i="1"/>
  <c r="J120" i="1"/>
  <c r="I121" i="1"/>
  <c r="J128" i="1"/>
  <c r="J129" i="1"/>
  <c r="J136" i="1"/>
  <c r="J137" i="1"/>
  <c r="J144" i="1"/>
  <c r="I145" i="1"/>
  <c r="J152" i="1"/>
  <c r="I153" i="1"/>
  <c r="J169" i="1"/>
  <c r="I176" i="1"/>
  <c r="J177" i="1"/>
  <c r="I184" i="1"/>
  <c r="I185" i="1"/>
  <c r="J192" i="1"/>
  <c r="J193" i="1"/>
  <c r="I200" i="1"/>
  <c r="J208" i="1"/>
  <c r="J209" i="1"/>
  <c r="I216" i="1"/>
  <c r="I217" i="1"/>
  <c r="J224" i="1"/>
  <c r="J225" i="1"/>
  <c r="J233" i="1"/>
  <c r="J241" i="1"/>
  <c r="J248" i="1"/>
  <c r="I249" i="1"/>
  <c r="I256" i="1"/>
  <c r="J264" i="1"/>
  <c r="J265" i="1"/>
  <c r="I272" i="1"/>
  <c r="I273" i="1"/>
  <c r="J280" i="1"/>
  <c r="I281" i="1"/>
  <c r="I288" i="1"/>
  <c r="I289" i="1"/>
  <c r="I296" i="1"/>
  <c r="I305" i="1"/>
  <c r="I312" i="1"/>
  <c r="I320" i="1"/>
  <c r="J321" i="1"/>
  <c r="J328" i="1"/>
  <c r="J329" i="1"/>
  <c r="J336" i="1"/>
  <c r="I344" i="1"/>
  <c r="I345" i="1"/>
  <c r="J353" i="1"/>
  <c r="J360" i="1"/>
  <c r="J361" i="1"/>
  <c r="J377" i="1"/>
  <c r="J384" i="1"/>
  <c r="I385" i="1"/>
  <c r="J392" i="1"/>
  <c r="J400" i="1"/>
  <c r="J401" i="1"/>
  <c r="J408" i="1"/>
  <c r="I416" i="1"/>
  <c r="J417" i="1"/>
  <c r="J424" i="1"/>
  <c r="J425" i="1"/>
  <c r="J433" i="1"/>
  <c r="I440" i="1"/>
  <c r="J441" i="1"/>
  <c r="J457" i="1"/>
  <c r="J465" i="1"/>
  <c r="J473" i="1"/>
  <c r="I480" i="1"/>
  <c r="I485" i="1"/>
  <c r="J489" i="1"/>
  <c r="I493" i="1"/>
  <c r="I496" i="1"/>
  <c r="I2" i="1"/>
  <c r="J24" i="1"/>
  <c r="I32" i="1"/>
  <c r="J88" i="1"/>
  <c r="J96" i="1"/>
  <c r="I160" i="1"/>
  <c r="J168" i="1"/>
  <c r="I232" i="1"/>
  <c r="J240" i="1"/>
  <c r="J296" i="1"/>
  <c r="I304" i="1"/>
  <c r="I368" i="1"/>
  <c r="J376" i="1"/>
  <c r="J448" i="1"/>
  <c r="J161" i="1"/>
  <c r="J201" i="1"/>
  <c r="J257" i="1"/>
  <c r="J297" i="1"/>
  <c r="I337" i="1"/>
  <c r="J365" i="1"/>
  <c r="J369" i="1"/>
  <c r="J381" i="1"/>
  <c r="I409" i="1"/>
  <c r="I7" i="1"/>
  <c r="I15" i="1"/>
  <c r="I23" i="1"/>
  <c r="I31" i="1"/>
  <c r="I39" i="1"/>
  <c r="I47" i="1"/>
  <c r="I55" i="1"/>
  <c r="J63" i="1"/>
  <c r="J71" i="1"/>
  <c r="I79" i="1"/>
  <c r="I95" i="1"/>
  <c r="J103" i="1"/>
  <c r="J111" i="1"/>
  <c r="I119" i="1"/>
  <c r="J127" i="1"/>
  <c r="J135" i="1"/>
  <c r="I143" i="1"/>
  <c r="J151" i="1"/>
  <c r="I159" i="1"/>
  <c r="I167" i="1"/>
  <c r="J175" i="1"/>
  <c r="J183" i="1"/>
  <c r="J191" i="1"/>
  <c r="J199" i="1"/>
  <c r="J207" i="1"/>
  <c r="J215" i="1"/>
  <c r="J223" i="1"/>
  <c r="J231" i="1"/>
  <c r="I239" i="1"/>
  <c r="I247" i="1"/>
  <c r="J255" i="1"/>
  <c r="J263" i="1"/>
  <c r="I271" i="1"/>
  <c r="I279" i="1"/>
  <c r="J287" i="1"/>
  <c r="J295" i="1"/>
  <c r="I303" i="1"/>
  <c r="I311" i="1"/>
  <c r="I319" i="1"/>
  <c r="I327" i="1"/>
  <c r="I335" i="1"/>
  <c r="J343" i="1"/>
  <c r="I351" i="1"/>
  <c r="I359" i="1"/>
  <c r="J367" i="1"/>
  <c r="J375" i="1"/>
  <c r="I383" i="1"/>
  <c r="I391" i="1"/>
  <c r="I399" i="1"/>
  <c r="I407" i="1"/>
  <c r="J415" i="1"/>
  <c r="I423" i="1"/>
  <c r="I431" i="1"/>
  <c r="J439" i="1"/>
  <c r="I447" i="1"/>
  <c r="I455" i="1"/>
  <c r="I463" i="1"/>
  <c r="J471" i="1"/>
  <c r="J479" i="1"/>
  <c r="I487" i="1"/>
  <c r="J495" i="1"/>
  <c r="I499" i="1"/>
  <c r="I3" i="1"/>
  <c r="I11" i="1"/>
  <c r="I19" i="1"/>
  <c r="J27" i="1"/>
  <c r="I35" i="1"/>
  <c r="J43" i="1"/>
  <c r="I51" i="1"/>
  <c r="I59" i="1"/>
  <c r="I67" i="1"/>
  <c r="J75" i="1"/>
  <c r="I83" i="1"/>
  <c r="J91" i="1"/>
  <c r="I99" i="1"/>
  <c r="I107" i="1"/>
  <c r="I115" i="1"/>
  <c r="I123" i="1"/>
  <c r="J131" i="1"/>
  <c r="I139" i="1"/>
  <c r="J147" i="1"/>
  <c r="I155" i="1"/>
  <c r="J163" i="1"/>
  <c r="I171" i="1"/>
  <c r="I179" i="1"/>
  <c r="J187" i="1"/>
  <c r="I195" i="1"/>
  <c r="J203" i="1"/>
  <c r="I211" i="1"/>
  <c r="J219" i="1"/>
  <c r="I227" i="1"/>
  <c r="I235" i="1"/>
  <c r="I251" i="1"/>
  <c r="J259" i="1"/>
  <c r="I267" i="1"/>
  <c r="I275" i="1"/>
  <c r="I283" i="1"/>
  <c r="I291" i="1"/>
  <c r="I299" i="1"/>
  <c r="I307" i="1"/>
  <c r="J315" i="1"/>
  <c r="J323" i="1"/>
  <c r="I331" i="1"/>
  <c r="I339" i="1"/>
  <c r="J347" i="1"/>
  <c r="I355" i="1"/>
  <c r="J363" i="1"/>
  <c r="J371" i="1"/>
  <c r="J379" i="1"/>
  <c r="J387" i="1"/>
  <c r="I395" i="1"/>
  <c r="J403" i="1"/>
  <c r="I411" i="1"/>
  <c r="J419" i="1"/>
  <c r="I427" i="1"/>
  <c r="J435" i="1"/>
  <c r="J443" i="1"/>
  <c r="J451" i="1"/>
  <c r="J459" i="1"/>
  <c r="I467" i="1"/>
  <c r="J475" i="1"/>
  <c r="I483" i="1"/>
  <c r="I491" i="1"/>
  <c r="I72" i="1"/>
  <c r="J45" i="1"/>
  <c r="I69" i="1"/>
  <c r="J101" i="1"/>
  <c r="J165" i="1"/>
  <c r="J173" i="1"/>
  <c r="J229" i="1"/>
  <c r="I253" i="1"/>
  <c r="I261" i="1"/>
  <c r="J293" i="1"/>
  <c r="I301" i="1"/>
  <c r="I317" i="1"/>
  <c r="I325" i="1"/>
  <c r="J421" i="1"/>
  <c r="J133" i="1"/>
  <c r="I293" i="1"/>
  <c r="I12" i="1"/>
  <c r="I20" i="1"/>
  <c r="I27" i="1"/>
  <c r="I28" i="1"/>
  <c r="I36" i="1"/>
  <c r="I44" i="1"/>
  <c r="I52" i="1"/>
  <c r="I60" i="1"/>
  <c r="I61" i="1"/>
  <c r="I63" i="1"/>
  <c r="I68" i="1"/>
  <c r="I76" i="1"/>
  <c r="I84" i="1"/>
  <c r="I87" i="1"/>
  <c r="I92" i="1"/>
  <c r="I100" i="1"/>
  <c r="I108" i="1"/>
  <c r="I112" i="1"/>
  <c r="I116" i="1"/>
  <c r="I124" i="1"/>
  <c r="I132" i="1"/>
  <c r="I133" i="1"/>
  <c r="I140" i="1"/>
  <c r="I148" i="1"/>
  <c r="I156" i="1"/>
  <c r="I164" i="1"/>
  <c r="I172" i="1"/>
  <c r="I180" i="1"/>
  <c r="I187" i="1"/>
  <c r="I188" i="1"/>
  <c r="I191" i="1"/>
  <c r="I196" i="1"/>
  <c r="I204" i="1"/>
  <c r="I212" i="1"/>
  <c r="I215" i="1"/>
  <c r="I220" i="1"/>
  <c r="I223" i="1"/>
  <c r="I228" i="1"/>
  <c r="I236" i="1"/>
  <c r="I243" i="1"/>
  <c r="I244" i="1"/>
  <c r="I252" i="1"/>
  <c r="I259" i="1"/>
  <c r="I260" i="1"/>
  <c r="I263" i="1"/>
  <c r="I268" i="1"/>
  <c r="I276" i="1"/>
  <c r="I284" i="1"/>
  <c r="I287" i="1"/>
  <c r="I292" i="1"/>
  <c r="I295" i="1"/>
  <c r="I300" i="1"/>
  <c r="I308" i="1"/>
  <c r="I315" i="1"/>
  <c r="I316" i="1"/>
  <c r="I324" i="1"/>
  <c r="I332" i="1"/>
  <c r="I340" i="1"/>
  <c r="I348" i="1"/>
  <c r="I356" i="1"/>
  <c r="I364" i="1"/>
  <c r="I367" i="1"/>
  <c r="I371" i="1"/>
  <c r="I372" i="1"/>
  <c r="I380" i="1"/>
  <c r="I387" i="1"/>
  <c r="I388" i="1"/>
  <c r="I396" i="1"/>
  <c r="I404" i="1"/>
  <c r="I412" i="1"/>
  <c r="I420" i="1"/>
  <c r="I424" i="1"/>
  <c r="I428" i="1"/>
  <c r="I436" i="1"/>
  <c r="I437" i="1"/>
  <c r="I443" i="1"/>
  <c r="I444" i="1"/>
  <c r="I445" i="1"/>
  <c r="I452" i="1"/>
  <c r="I459" i="1"/>
  <c r="I460" i="1"/>
  <c r="I468" i="1"/>
  <c r="I476" i="1"/>
  <c r="I479" i="1"/>
  <c r="I484" i="1"/>
  <c r="I492" i="1"/>
  <c r="I500" i="1"/>
  <c r="J12" i="1"/>
  <c r="J15" i="1"/>
  <c r="J19" i="1"/>
  <c r="J20" i="1"/>
  <c r="J28" i="1"/>
  <c r="J36" i="1"/>
  <c r="J37" i="1"/>
  <c r="J39" i="1"/>
  <c r="J44" i="1"/>
  <c r="J52" i="1"/>
  <c r="J60" i="1"/>
  <c r="J68" i="1"/>
  <c r="J76" i="1"/>
  <c r="J84" i="1"/>
  <c r="J87" i="1"/>
  <c r="J92" i="1"/>
  <c r="J95" i="1"/>
  <c r="J100" i="1"/>
  <c r="J108" i="1"/>
  <c r="J109" i="1"/>
  <c r="J116" i="1"/>
  <c r="J124" i="1"/>
  <c r="J132" i="1"/>
  <c r="J140" i="1"/>
  <c r="J143" i="1"/>
  <c r="J148" i="1"/>
  <c r="J156" i="1"/>
  <c r="J164" i="1"/>
  <c r="J172" i="1"/>
  <c r="J179" i="1"/>
  <c r="J180" i="1"/>
  <c r="J188" i="1"/>
  <c r="J196" i="1"/>
  <c r="J204" i="1"/>
  <c r="J212" i="1"/>
  <c r="J220" i="1"/>
  <c r="J228" i="1"/>
  <c r="J236" i="1"/>
  <c r="J243" i="1"/>
  <c r="J244" i="1"/>
  <c r="J247" i="1"/>
  <c r="J252" i="1"/>
  <c r="J260" i="1"/>
  <c r="J268" i="1"/>
  <c r="J271" i="1"/>
  <c r="J276" i="1"/>
  <c r="J279" i="1"/>
  <c r="J284" i="1"/>
  <c r="J292" i="1"/>
  <c r="J300" i="1"/>
  <c r="J303" i="1"/>
  <c r="J308" i="1"/>
  <c r="J316" i="1"/>
  <c r="J324" i="1"/>
  <c r="J327" i="1"/>
  <c r="J332" i="1"/>
  <c r="J335" i="1"/>
  <c r="J339" i="1"/>
  <c r="J340" i="1"/>
  <c r="J348" i="1"/>
  <c r="J356" i="1"/>
  <c r="J357" i="1"/>
  <c r="J359" i="1"/>
  <c r="J364" i="1"/>
  <c r="J372" i="1"/>
  <c r="J380" i="1"/>
  <c r="J383" i="1"/>
  <c r="J388" i="1"/>
  <c r="J395" i="1"/>
  <c r="J396" i="1"/>
  <c r="J404" i="1"/>
  <c r="J412" i="1"/>
  <c r="J420" i="1"/>
  <c r="J428" i="1"/>
  <c r="J429" i="1"/>
  <c r="J436" i="1"/>
  <c r="J444" i="1"/>
  <c r="J452" i="1"/>
  <c r="J455" i="1"/>
  <c r="J460" i="1"/>
  <c r="J463" i="1"/>
  <c r="J468" i="1"/>
  <c r="J476" i="1"/>
  <c r="J484" i="1"/>
  <c r="J487" i="1"/>
  <c r="J491" i="1"/>
  <c r="J492" i="1"/>
  <c r="J500" i="1"/>
  <c r="I5" i="1"/>
  <c r="J3" i="1"/>
  <c r="J2" i="1"/>
  <c r="I4" i="1"/>
  <c r="J6" i="1"/>
  <c r="J410" i="1" l="1"/>
  <c r="J226" i="1"/>
  <c r="I258" i="1"/>
  <c r="J480" i="1"/>
  <c r="I144" i="1"/>
  <c r="I264" i="1"/>
  <c r="L264" i="1" s="1"/>
  <c r="I464" i="1"/>
  <c r="I56" i="1"/>
  <c r="L56" i="1" s="1"/>
  <c r="I280" i="1"/>
  <c r="I16" i="1"/>
  <c r="I384" i="1"/>
  <c r="L384" i="1" s="1"/>
  <c r="M384" i="1" s="1"/>
  <c r="I240" i="1"/>
  <c r="I168" i="1"/>
  <c r="I80" i="1"/>
  <c r="I40" i="1"/>
  <c r="J256" i="1"/>
  <c r="L256" i="1" s="1"/>
  <c r="I128" i="1"/>
  <c r="J64" i="1"/>
  <c r="L64" i="1" s="1"/>
  <c r="J368" i="1"/>
  <c r="L368" i="1" s="1"/>
  <c r="J176" i="1"/>
  <c r="I248" i="1"/>
  <c r="J184" i="1"/>
  <c r="I96" i="1"/>
  <c r="J312" i="1"/>
  <c r="L312" i="1" s="1"/>
  <c r="M312" i="1" s="1"/>
  <c r="J440" i="1"/>
  <c r="J160" i="1"/>
  <c r="J378" i="1"/>
  <c r="L378" i="1" s="1"/>
  <c r="M378" i="1" s="1"/>
  <c r="J145" i="1"/>
  <c r="J354" i="1"/>
  <c r="L354" i="1" s="1"/>
  <c r="J26" i="1"/>
  <c r="I386" i="1"/>
  <c r="L386" i="1" s="1"/>
  <c r="J458" i="1"/>
  <c r="L458" i="1" s="1"/>
  <c r="M458" i="1" s="1"/>
  <c r="I50" i="1"/>
  <c r="I490" i="1"/>
  <c r="L490" i="1" s="1"/>
  <c r="M490" i="1" s="1"/>
  <c r="J289" i="1"/>
  <c r="L289" i="1" s="1"/>
  <c r="M289" i="1" s="1"/>
  <c r="J431" i="1"/>
  <c r="J407" i="1"/>
  <c r="J167" i="1"/>
  <c r="L167" i="1" s="1"/>
  <c r="J119" i="1"/>
  <c r="I439" i="1"/>
  <c r="L439" i="1" s="1"/>
  <c r="I415" i="1"/>
  <c r="I343" i="1"/>
  <c r="L343" i="1" s="1"/>
  <c r="M343" i="1" s="1"/>
  <c r="I135" i="1"/>
  <c r="L135" i="1" s="1"/>
  <c r="I111" i="1"/>
  <c r="J447" i="1"/>
  <c r="L447" i="1" s="1"/>
  <c r="J319" i="1"/>
  <c r="L319" i="1" s="1"/>
  <c r="J159" i="1"/>
  <c r="J79" i="1"/>
  <c r="L79" i="1" s="1"/>
  <c r="J55" i="1"/>
  <c r="J31" i="1"/>
  <c r="L31" i="1" s="1"/>
  <c r="M31" i="1" s="1"/>
  <c r="I471" i="1"/>
  <c r="L471" i="1" s="1"/>
  <c r="I207" i="1"/>
  <c r="I183" i="1"/>
  <c r="I127" i="1"/>
  <c r="L127" i="1" s="1"/>
  <c r="M127" i="1" s="1"/>
  <c r="J399" i="1"/>
  <c r="J423" i="1"/>
  <c r="L423" i="1" s="1"/>
  <c r="J239" i="1"/>
  <c r="I495" i="1"/>
  <c r="L495" i="1" s="1"/>
  <c r="M495" i="1" s="1"/>
  <c r="I255" i="1"/>
  <c r="L255" i="1" s="1"/>
  <c r="I231" i="1"/>
  <c r="I151" i="1"/>
  <c r="I71" i="1"/>
  <c r="J351" i="1"/>
  <c r="I103" i="1"/>
  <c r="L103" i="1" s="1"/>
  <c r="J391" i="1"/>
  <c r="J311" i="1"/>
  <c r="L311" i="1" s="1"/>
  <c r="M311" i="1" s="1"/>
  <c r="J47" i="1"/>
  <c r="L47" i="1" s="1"/>
  <c r="J23" i="1"/>
  <c r="I375" i="1"/>
  <c r="L375" i="1" s="1"/>
  <c r="I199" i="1"/>
  <c r="L199" i="1" s="1"/>
  <c r="M199" i="1" s="1"/>
  <c r="I175" i="1"/>
  <c r="J385" i="1"/>
  <c r="L385" i="1" s="1"/>
  <c r="I257" i="1"/>
  <c r="L257" i="1" s="1"/>
  <c r="M257" i="1" s="1"/>
  <c r="I225" i="1"/>
  <c r="L225" i="1" s="1"/>
  <c r="I193" i="1"/>
  <c r="I161" i="1"/>
  <c r="I353" i="1"/>
  <c r="L353" i="1" s="1"/>
  <c r="I321" i="1"/>
  <c r="L321" i="1" s="1"/>
  <c r="M321" i="1" s="1"/>
  <c r="I417" i="1"/>
  <c r="L417" i="1" s="1"/>
  <c r="J467" i="1"/>
  <c r="L467" i="1" s="1"/>
  <c r="J411" i="1"/>
  <c r="I43" i="1"/>
  <c r="L43" i="1" s="1"/>
  <c r="J427" i="1"/>
  <c r="L427" i="1" s="1"/>
  <c r="J355" i="1"/>
  <c r="L355" i="1" s="1"/>
  <c r="J275" i="1"/>
  <c r="L275" i="1" s="1"/>
  <c r="M275" i="1" s="1"/>
  <c r="J195" i="1"/>
  <c r="L195" i="1" s="1"/>
  <c r="M195" i="1" s="1"/>
  <c r="J123" i="1"/>
  <c r="L123" i="1" s="1"/>
  <c r="M123" i="1" s="1"/>
  <c r="J83" i="1"/>
  <c r="L83" i="1" s="1"/>
  <c r="J67" i="1"/>
  <c r="I403" i="1"/>
  <c r="L403" i="1" s="1"/>
  <c r="M403" i="1" s="1"/>
  <c r="I147" i="1"/>
  <c r="L147" i="1" s="1"/>
  <c r="M147" i="1" s="1"/>
  <c r="I91" i="1"/>
  <c r="J194" i="1"/>
  <c r="L194" i="1" s="1"/>
  <c r="J107" i="1"/>
  <c r="L107" i="1" s="1"/>
  <c r="J51" i="1"/>
  <c r="L51" i="1" s="1"/>
  <c r="J483" i="1"/>
  <c r="L483" i="1" s="1"/>
  <c r="M483" i="1" s="1"/>
  <c r="J331" i="1"/>
  <c r="J291" i="1"/>
  <c r="L291" i="1" s="1"/>
  <c r="J235" i="1"/>
  <c r="L235" i="1" s="1"/>
  <c r="M235" i="1" s="1"/>
  <c r="J155" i="1"/>
  <c r="J139" i="1"/>
  <c r="J82" i="1"/>
  <c r="L82" i="1" s="1"/>
  <c r="M82" i="1" s="1"/>
  <c r="I419" i="1"/>
  <c r="L419" i="1" s="1"/>
  <c r="I347" i="1"/>
  <c r="L347" i="1" s="1"/>
  <c r="I219" i="1"/>
  <c r="L219" i="1" s="1"/>
  <c r="M219" i="1" s="1"/>
  <c r="I163" i="1"/>
  <c r="L163" i="1" s="1"/>
  <c r="J290" i="1"/>
  <c r="L290" i="1" s="1"/>
  <c r="M290" i="1" s="1"/>
  <c r="J35" i="1"/>
  <c r="J307" i="1"/>
  <c r="L307" i="1" s="1"/>
  <c r="J251" i="1"/>
  <c r="L251" i="1" s="1"/>
  <c r="M251" i="1" s="1"/>
  <c r="J211" i="1"/>
  <c r="L211" i="1" s="1"/>
  <c r="M211" i="1" s="1"/>
  <c r="J171" i="1"/>
  <c r="L171" i="1" s="1"/>
  <c r="J99" i="1"/>
  <c r="J11" i="1"/>
  <c r="L11" i="1" s="1"/>
  <c r="M11" i="1" s="1"/>
  <c r="I451" i="1"/>
  <c r="L451" i="1" s="1"/>
  <c r="M451" i="1" s="1"/>
  <c r="I435" i="1"/>
  <c r="L435" i="1" s="1"/>
  <c r="I418" i="1"/>
  <c r="L418" i="1" s="1"/>
  <c r="M418" i="1" s="1"/>
  <c r="I363" i="1"/>
  <c r="L363" i="1" s="1"/>
  <c r="M363" i="1" s="1"/>
  <c r="I323" i="1"/>
  <c r="L323" i="1" s="1"/>
  <c r="M323" i="1" s="1"/>
  <c r="I162" i="1"/>
  <c r="L162" i="1" s="1"/>
  <c r="M162" i="1" s="1"/>
  <c r="I75" i="1"/>
  <c r="L75" i="1" s="1"/>
  <c r="M75" i="1" s="1"/>
  <c r="J499" i="1"/>
  <c r="L499" i="1" s="1"/>
  <c r="M499" i="1" s="1"/>
  <c r="J267" i="1"/>
  <c r="L267" i="1" s="1"/>
  <c r="M267" i="1" s="1"/>
  <c r="J115" i="1"/>
  <c r="J59" i="1"/>
  <c r="L59" i="1" s="1"/>
  <c r="I379" i="1"/>
  <c r="L379" i="1" s="1"/>
  <c r="M379" i="1" s="1"/>
  <c r="I322" i="1"/>
  <c r="L322" i="1" s="1"/>
  <c r="I475" i="1"/>
  <c r="L475" i="1" s="1"/>
  <c r="M475" i="1" s="1"/>
  <c r="I203" i="1"/>
  <c r="L203" i="1" s="1"/>
  <c r="M203" i="1" s="1"/>
  <c r="I131" i="1"/>
  <c r="L131" i="1" s="1"/>
  <c r="M131" i="1" s="1"/>
  <c r="J283" i="1"/>
  <c r="L283" i="1" s="1"/>
  <c r="M283" i="1" s="1"/>
  <c r="J227" i="1"/>
  <c r="L227" i="1" s="1"/>
  <c r="J299" i="1"/>
  <c r="L299" i="1" s="1"/>
  <c r="M299" i="1" s="1"/>
  <c r="J113" i="1"/>
  <c r="L113" i="1" s="1"/>
  <c r="J496" i="1"/>
  <c r="L496" i="1" s="1"/>
  <c r="M496" i="1" s="1"/>
  <c r="J409" i="1"/>
  <c r="L409" i="1" s="1"/>
  <c r="J352" i="1"/>
  <c r="J337" i="1"/>
  <c r="L337" i="1" s="1"/>
  <c r="J232" i="1"/>
  <c r="L232" i="1" s="1"/>
  <c r="J216" i="1"/>
  <c r="L216" i="1" s="1"/>
  <c r="I448" i="1"/>
  <c r="L448" i="1" s="1"/>
  <c r="I408" i="1"/>
  <c r="L408" i="1" s="1"/>
  <c r="M408" i="1" s="1"/>
  <c r="I392" i="1"/>
  <c r="L392" i="1" s="1"/>
  <c r="M392" i="1" s="1"/>
  <c r="I336" i="1"/>
  <c r="L336" i="1" s="1"/>
  <c r="M336" i="1" s="1"/>
  <c r="I224" i="1"/>
  <c r="I208" i="1"/>
  <c r="L208" i="1" s="1"/>
  <c r="I152" i="1"/>
  <c r="L152" i="1" s="1"/>
  <c r="M152" i="1" s="1"/>
  <c r="I136" i="1"/>
  <c r="L136" i="1" s="1"/>
  <c r="M136" i="1" s="1"/>
  <c r="I24" i="1"/>
  <c r="L24" i="1" s="1"/>
  <c r="M24" i="1" s="1"/>
  <c r="I473" i="1"/>
  <c r="I441" i="1"/>
  <c r="L441" i="1" s="1"/>
  <c r="M441" i="1" s="1"/>
  <c r="I377" i="1"/>
  <c r="L377" i="1" s="1"/>
  <c r="M377" i="1" s="1"/>
  <c r="J121" i="1"/>
  <c r="J89" i="1"/>
  <c r="L89" i="1" s="1"/>
  <c r="M89" i="1" s="1"/>
  <c r="J320" i="1"/>
  <c r="L320" i="1" s="1"/>
  <c r="M320" i="1" s="1"/>
  <c r="J305" i="1"/>
  <c r="L305" i="1" s="1"/>
  <c r="M305" i="1" s="1"/>
  <c r="J200" i="1"/>
  <c r="I489" i="1"/>
  <c r="L489" i="1" s="1"/>
  <c r="M489" i="1" s="1"/>
  <c r="I49" i="1"/>
  <c r="L49" i="1" s="1"/>
  <c r="L3" i="1"/>
  <c r="M3" i="1" s="1"/>
  <c r="J432" i="1"/>
  <c r="L432" i="1" s="1"/>
  <c r="J304" i="1"/>
  <c r="L304" i="1" s="1"/>
  <c r="J288" i="1"/>
  <c r="L288" i="1" s="1"/>
  <c r="J273" i="1"/>
  <c r="L273" i="1" s="1"/>
  <c r="J81" i="1"/>
  <c r="L81" i="1" s="1"/>
  <c r="M81" i="1" s="1"/>
  <c r="I488" i="1"/>
  <c r="L488" i="1" s="1"/>
  <c r="M488" i="1" s="1"/>
  <c r="I472" i="1"/>
  <c r="L472" i="1" s="1"/>
  <c r="M472" i="1" s="1"/>
  <c r="I376" i="1"/>
  <c r="L376" i="1" s="1"/>
  <c r="M376" i="1" s="1"/>
  <c r="I360" i="1"/>
  <c r="I192" i="1"/>
  <c r="L192" i="1" s="1"/>
  <c r="I120" i="1"/>
  <c r="L120" i="1" s="1"/>
  <c r="I104" i="1"/>
  <c r="I48" i="1"/>
  <c r="L48" i="1" s="1"/>
  <c r="I241" i="1"/>
  <c r="L241" i="1" s="1"/>
  <c r="M241" i="1" s="1"/>
  <c r="I209" i="1"/>
  <c r="L209" i="1" s="1"/>
  <c r="M209" i="1" s="1"/>
  <c r="I177" i="1"/>
  <c r="L177" i="1" s="1"/>
  <c r="L424" i="1"/>
  <c r="M424" i="1" s="1"/>
  <c r="I25" i="1"/>
  <c r="L25" i="1" s="1"/>
  <c r="L2" i="1"/>
  <c r="M2" i="1" s="1"/>
  <c r="L468" i="1"/>
  <c r="M468" i="1" s="1"/>
  <c r="L452" i="1"/>
  <c r="M452" i="1" s="1"/>
  <c r="L444" i="1"/>
  <c r="L420" i="1"/>
  <c r="M420" i="1" s="1"/>
  <c r="L412" i="1"/>
  <c r="L396" i="1"/>
  <c r="L380" i="1"/>
  <c r="L340" i="1"/>
  <c r="L332" i="1"/>
  <c r="L324" i="1"/>
  <c r="M324" i="1" s="1"/>
  <c r="L308" i="1"/>
  <c r="L276" i="1"/>
  <c r="L236" i="1"/>
  <c r="L220" i="1"/>
  <c r="L204" i="1"/>
  <c r="L172" i="1"/>
  <c r="L148" i="1"/>
  <c r="L132" i="1"/>
  <c r="L84" i="1"/>
  <c r="M84" i="1" s="1"/>
  <c r="L76" i="1"/>
  <c r="M76" i="1" s="1"/>
  <c r="L44" i="1"/>
  <c r="M44" i="1" s="1"/>
  <c r="L36" i="1"/>
  <c r="M36" i="1" s="1"/>
  <c r="L12" i="1"/>
  <c r="M12" i="1" s="1"/>
  <c r="J416" i="1"/>
  <c r="L416" i="1" s="1"/>
  <c r="J272" i="1"/>
  <c r="L272" i="1" s="1"/>
  <c r="I457" i="1"/>
  <c r="L457" i="1" s="1"/>
  <c r="I88" i="1"/>
  <c r="L88" i="1" s="1"/>
  <c r="M88" i="1" s="1"/>
  <c r="L459" i="1"/>
  <c r="L443" i="1"/>
  <c r="M443" i="1" s="1"/>
  <c r="L411" i="1"/>
  <c r="L395" i="1"/>
  <c r="M395" i="1" s="1"/>
  <c r="L371" i="1"/>
  <c r="M371" i="1" s="1"/>
  <c r="L339" i="1"/>
  <c r="M339" i="1" s="1"/>
  <c r="J344" i="1"/>
  <c r="L344" i="1" s="1"/>
  <c r="M344" i="1" s="1"/>
  <c r="I456" i="1"/>
  <c r="L456" i="1" s="1"/>
  <c r="I400" i="1"/>
  <c r="L400" i="1" s="1"/>
  <c r="I328" i="1"/>
  <c r="L328" i="1" s="1"/>
  <c r="L360" i="1"/>
  <c r="J57" i="1"/>
  <c r="L57" i="1" s="1"/>
  <c r="L187" i="1"/>
  <c r="J482" i="1"/>
  <c r="L482" i="1" s="1"/>
  <c r="J346" i="1"/>
  <c r="L346" i="1" s="1"/>
  <c r="M346" i="1" s="1"/>
  <c r="L258" i="1"/>
  <c r="L50" i="1"/>
  <c r="L26" i="1"/>
  <c r="J481" i="1"/>
  <c r="L481" i="1" s="1"/>
  <c r="M481" i="1" s="1"/>
  <c r="J449" i="1"/>
  <c r="L449" i="1" s="1"/>
  <c r="J345" i="1"/>
  <c r="L345" i="1" s="1"/>
  <c r="J313" i="1"/>
  <c r="L313" i="1" s="1"/>
  <c r="J281" i="1"/>
  <c r="L281" i="1" s="1"/>
  <c r="J249" i="1"/>
  <c r="L249" i="1" s="1"/>
  <c r="J217" i="1"/>
  <c r="L217" i="1" s="1"/>
  <c r="M217" i="1" s="1"/>
  <c r="J185" i="1"/>
  <c r="L185" i="1" s="1"/>
  <c r="J153" i="1"/>
  <c r="L153" i="1" s="1"/>
  <c r="J90" i="1"/>
  <c r="L90" i="1" s="1"/>
  <c r="J58" i="1"/>
  <c r="L58" i="1" s="1"/>
  <c r="M58" i="1" s="1"/>
  <c r="J17" i="1"/>
  <c r="L17" i="1" s="1"/>
  <c r="I498" i="1"/>
  <c r="L498" i="1" s="1"/>
  <c r="M498" i="1" s="1"/>
  <c r="I466" i="1"/>
  <c r="L466" i="1" s="1"/>
  <c r="I426" i="1"/>
  <c r="L426" i="1" s="1"/>
  <c r="M426" i="1" s="1"/>
  <c r="I394" i="1"/>
  <c r="L394" i="1" s="1"/>
  <c r="M394" i="1" s="1"/>
  <c r="I362" i="1"/>
  <c r="L362" i="1" s="1"/>
  <c r="M362" i="1" s="1"/>
  <c r="I330" i="1"/>
  <c r="L330" i="1" s="1"/>
  <c r="I298" i="1"/>
  <c r="L298" i="1" s="1"/>
  <c r="I266" i="1"/>
  <c r="L266" i="1" s="1"/>
  <c r="M266" i="1" s="1"/>
  <c r="I234" i="1"/>
  <c r="L234" i="1" s="1"/>
  <c r="M234" i="1" s="1"/>
  <c r="I202" i="1"/>
  <c r="L202" i="1" s="1"/>
  <c r="M202" i="1" s="1"/>
  <c r="I170" i="1"/>
  <c r="L170" i="1" s="1"/>
  <c r="M170" i="1" s="1"/>
  <c r="I138" i="1"/>
  <c r="L138" i="1" s="1"/>
  <c r="M138" i="1" s="1"/>
  <c r="I129" i="1"/>
  <c r="L129" i="1" s="1"/>
  <c r="M129" i="1" s="1"/>
  <c r="I97" i="1"/>
  <c r="L97" i="1" s="1"/>
  <c r="I65" i="1"/>
  <c r="L65" i="1" s="1"/>
  <c r="M65" i="1" s="1"/>
  <c r="I34" i="1"/>
  <c r="L34" i="1" s="1"/>
  <c r="M34" i="1" s="1"/>
  <c r="J282" i="1"/>
  <c r="L282" i="1" s="1"/>
  <c r="M282" i="1" s="1"/>
  <c r="J154" i="1"/>
  <c r="L154" i="1" s="1"/>
  <c r="I98" i="1"/>
  <c r="L98" i="1" s="1"/>
  <c r="L473" i="1"/>
  <c r="L121" i="1"/>
  <c r="M121" i="1" s="1"/>
  <c r="J130" i="1"/>
  <c r="L130" i="1" s="1"/>
  <c r="I497" i="1"/>
  <c r="L497" i="1" s="1"/>
  <c r="I465" i="1"/>
  <c r="L465" i="1" s="1"/>
  <c r="M465" i="1" s="1"/>
  <c r="I425" i="1"/>
  <c r="L425" i="1" s="1"/>
  <c r="M425" i="1" s="1"/>
  <c r="I393" i="1"/>
  <c r="L393" i="1" s="1"/>
  <c r="M393" i="1" s="1"/>
  <c r="I361" i="1"/>
  <c r="L361" i="1" s="1"/>
  <c r="M361" i="1" s="1"/>
  <c r="I329" i="1"/>
  <c r="L329" i="1" s="1"/>
  <c r="M329" i="1" s="1"/>
  <c r="I297" i="1"/>
  <c r="L297" i="1" s="1"/>
  <c r="I265" i="1"/>
  <c r="L265" i="1" s="1"/>
  <c r="M265" i="1" s="1"/>
  <c r="I233" i="1"/>
  <c r="L233" i="1" s="1"/>
  <c r="M233" i="1" s="1"/>
  <c r="I201" i="1"/>
  <c r="L201" i="1" s="1"/>
  <c r="I169" i="1"/>
  <c r="L169" i="1" s="1"/>
  <c r="I137" i="1"/>
  <c r="L137" i="1" s="1"/>
  <c r="M137" i="1" s="1"/>
  <c r="I106" i="1"/>
  <c r="L106" i="1" s="1"/>
  <c r="M106" i="1" s="1"/>
  <c r="I74" i="1"/>
  <c r="L74" i="1" s="1"/>
  <c r="M74" i="1" s="1"/>
  <c r="I33" i="1"/>
  <c r="L33" i="1" s="1"/>
  <c r="M33" i="1" s="1"/>
  <c r="L67" i="1"/>
  <c r="J218" i="1"/>
  <c r="L218" i="1" s="1"/>
  <c r="M218" i="1" s="1"/>
  <c r="J66" i="1"/>
  <c r="L66" i="1" s="1"/>
  <c r="M66" i="1" s="1"/>
  <c r="I474" i="1"/>
  <c r="L474" i="1" s="1"/>
  <c r="I434" i="1"/>
  <c r="L434" i="1" s="1"/>
  <c r="I402" i="1"/>
  <c r="L402" i="1" s="1"/>
  <c r="M402" i="1" s="1"/>
  <c r="I370" i="1"/>
  <c r="L370" i="1" s="1"/>
  <c r="I338" i="1"/>
  <c r="L338" i="1" s="1"/>
  <c r="I306" i="1"/>
  <c r="L306" i="1" s="1"/>
  <c r="I274" i="1"/>
  <c r="L274" i="1" s="1"/>
  <c r="M274" i="1" s="1"/>
  <c r="I242" i="1"/>
  <c r="L242" i="1" s="1"/>
  <c r="I210" i="1"/>
  <c r="L210" i="1" s="1"/>
  <c r="M210" i="1" s="1"/>
  <c r="I178" i="1"/>
  <c r="L178" i="1" s="1"/>
  <c r="I146" i="1"/>
  <c r="L146" i="1" s="1"/>
  <c r="I105" i="1"/>
  <c r="L105" i="1" s="1"/>
  <c r="I73" i="1"/>
  <c r="L73" i="1" s="1"/>
  <c r="I42" i="1"/>
  <c r="L42" i="1" s="1"/>
  <c r="M42" i="1" s="1"/>
  <c r="I10" i="1"/>
  <c r="L10" i="1" s="1"/>
  <c r="M10" i="1" s="1"/>
  <c r="L99" i="1"/>
  <c r="J450" i="1"/>
  <c r="L450" i="1" s="1"/>
  <c r="M450" i="1" s="1"/>
  <c r="J122" i="1"/>
  <c r="L122" i="1" s="1"/>
  <c r="J18" i="1"/>
  <c r="L18" i="1" s="1"/>
  <c r="M18" i="1" s="1"/>
  <c r="L480" i="1"/>
  <c r="I442" i="1"/>
  <c r="L442" i="1" s="1"/>
  <c r="M442" i="1" s="1"/>
  <c r="I433" i="1"/>
  <c r="L433" i="1" s="1"/>
  <c r="I401" i="1"/>
  <c r="L401" i="1" s="1"/>
  <c r="M401" i="1" s="1"/>
  <c r="I369" i="1"/>
  <c r="L369" i="1" s="1"/>
  <c r="M369" i="1" s="1"/>
  <c r="I114" i="1"/>
  <c r="L114" i="1" s="1"/>
  <c r="I41" i="1"/>
  <c r="L41" i="1" s="1"/>
  <c r="M41" i="1" s="1"/>
  <c r="J314" i="1"/>
  <c r="L314" i="1" s="1"/>
  <c r="M314" i="1" s="1"/>
  <c r="J250" i="1"/>
  <c r="L250" i="1" s="1"/>
  <c r="M250" i="1" s="1"/>
  <c r="I186" i="1"/>
  <c r="L186" i="1" s="1"/>
  <c r="L367" i="1"/>
  <c r="L293" i="1"/>
  <c r="L240" i="1"/>
  <c r="L133" i="1"/>
  <c r="L100" i="1"/>
  <c r="M100" i="1" s="1"/>
  <c r="L436" i="1"/>
  <c r="L119" i="1"/>
  <c r="L224" i="1"/>
  <c r="M224" i="1" s="1"/>
  <c r="L180" i="1"/>
  <c r="L145" i="1"/>
  <c r="M145" i="1" s="1"/>
  <c r="L124" i="1"/>
  <c r="L92" i="1"/>
  <c r="M92" i="1" s="1"/>
  <c r="L164" i="1"/>
  <c r="L296" i="1"/>
  <c r="L315" i="1"/>
  <c r="L356" i="1"/>
  <c r="L128" i="1"/>
  <c r="M128" i="1" s="1"/>
  <c r="L60" i="1"/>
  <c r="M60" i="1" s="1"/>
  <c r="L352" i="1"/>
  <c r="M352" i="1" s="1"/>
  <c r="L303" i="1"/>
  <c r="L55" i="1"/>
  <c r="L226" i="1"/>
  <c r="L239" i="1"/>
  <c r="L161" i="1"/>
  <c r="M161" i="1" s="1"/>
  <c r="L248" i="1"/>
  <c r="M248" i="1" s="1"/>
  <c r="L175" i="1"/>
  <c r="M175" i="1" s="1"/>
  <c r="L155" i="1"/>
  <c r="M155" i="1" s="1"/>
  <c r="L410" i="1"/>
  <c r="M410" i="1" s="1"/>
  <c r="L244" i="1"/>
  <c r="L247" i="1"/>
  <c r="M247" i="1" s="1"/>
  <c r="L184" i="1"/>
  <c r="L243" i="1"/>
  <c r="L476" i="1"/>
  <c r="M476" i="1" s="1"/>
  <c r="L460" i="1"/>
  <c r="M460" i="1" s="1"/>
  <c r="L404" i="1"/>
  <c r="L388" i="1"/>
  <c r="L300" i="1"/>
  <c r="M300" i="1" s="1"/>
  <c r="L268" i="1"/>
  <c r="L260" i="1"/>
  <c r="M260" i="1" s="1"/>
  <c r="L212" i="1"/>
  <c r="M212" i="1" s="1"/>
  <c r="L196" i="1"/>
  <c r="L140" i="1"/>
  <c r="L108" i="1"/>
  <c r="M108" i="1" s="1"/>
  <c r="L68" i="1"/>
  <c r="M68" i="1" s="1"/>
  <c r="L20" i="1"/>
  <c r="M20" i="1" s="1"/>
  <c r="L431" i="1"/>
  <c r="M431" i="1" s="1"/>
  <c r="L193" i="1"/>
  <c r="L183" i="1"/>
  <c r="M183" i="1" s="1"/>
  <c r="L111" i="1"/>
  <c r="L91" i="1"/>
  <c r="J477" i="1"/>
  <c r="I477" i="1"/>
  <c r="J469" i="1"/>
  <c r="I469" i="1"/>
  <c r="J461" i="1"/>
  <c r="I461" i="1"/>
  <c r="J453" i="1"/>
  <c r="I453" i="1"/>
  <c r="J445" i="1"/>
  <c r="L445" i="1" s="1"/>
  <c r="M445" i="1" s="1"/>
  <c r="J437" i="1"/>
  <c r="L437" i="1" s="1"/>
  <c r="M437" i="1" s="1"/>
  <c r="I429" i="1"/>
  <c r="L429" i="1" s="1"/>
  <c r="M429" i="1" s="1"/>
  <c r="I421" i="1"/>
  <c r="L421" i="1" s="1"/>
  <c r="J413" i="1"/>
  <c r="I413" i="1"/>
  <c r="J405" i="1"/>
  <c r="I405" i="1"/>
  <c r="J397" i="1"/>
  <c r="I397" i="1"/>
  <c r="J389" i="1"/>
  <c r="I389" i="1"/>
  <c r="J373" i="1"/>
  <c r="I365" i="1"/>
  <c r="L365" i="1" s="1"/>
  <c r="M365" i="1" s="1"/>
  <c r="I357" i="1"/>
  <c r="L357" i="1" s="1"/>
  <c r="J349" i="1"/>
  <c r="I349" i="1"/>
  <c r="J341" i="1"/>
  <c r="I341" i="1"/>
  <c r="J333" i="1"/>
  <c r="I333" i="1"/>
  <c r="J325" i="1"/>
  <c r="L325" i="1" s="1"/>
  <c r="J317" i="1"/>
  <c r="L317" i="1" s="1"/>
  <c r="M317" i="1" s="1"/>
  <c r="I309" i="1"/>
  <c r="J309" i="1"/>
  <c r="J285" i="1"/>
  <c r="I285" i="1"/>
  <c r="L285" i="1" s="1"/>
  <c r="M285" i="1" s="1"/>
  <c r="J277" i="1"/>
  <c r="I277" i="1"/>
  <c r="J269" i="1"/>
  <c r="I269" i="1"/>
  <c r="J261" i="1"/>
  <c r="L261" i="1" s="1"/>
  <c r="M261" i="1" s="1"/>
  <c r="J253" i="1"/>
  <c r="L253" i="1" s="1"/>
  <c r="M253" i="1" s="1"/>
  <c r="I245" i="1"/>
  <c r="J245" i="1"/>
  <c r="L245" i="1" s="1"/>
  <c r="M245" i="1" s="1"/>
  <c r="I237" i="1"/>
  <c r="I229" i="1"/>
  <c r="L229" i="1" s="1"/>
  <c r="M229" i="1" s="1"/>
  <c r="J221" i="1"/>
  <c r="I221" i="1"/>
  <c r="J213" i="1"/>
  <c r="I213" i="1"/>
  <c r="J205" i="1"/>
  <c r="I205" i="1"/>
  <c r="L205" i="1" s="1"/>
  <c r="M205" i="1" s="1"/>
  <c r="J197" i="1"/>
  <c r="J189" i="1"/>
  <c r="I181" i="1"/>
  <c r="J181" i="1"/>
  <c r="I173" i="1"/>
  <c r="L173" i="1" s="1"/>
  <c r="M173" i="1" s="1"/>
  <c r="I165" i="1"/>
  <c r="L165" i="1" s="1"/>
  <c r="M165" i="1" s="1"/>
  <c r="J157" i="1"/>
  <c r="I157" i="1"/>
  <c r="J149" i="1"/>
  <c r="I149" i="1"/>
  <c r="J141" i="1"/>
  <c r="I141" i="1"/>
  <c r="J125" i="1"/>
  <c r="I117" i="1"/>
  <c r="J117" i="1"/>
  <c r="I109" i="1"/>
  <c r="L109" i="1" s="1"/>
  <c r="M109" i="1" s="1"/>
  <c r="I101" i="1"/>
  <c r="L101" i="1" s="1"/>
  <c r="M101" i="1" s="1"/>
  <c r="J93" i="1"/>
  <c r="I93" i="1"/>
  <c r="J85" i="1"/>
  <c r="I85" i="1"/>
  <c r="J77" i="1"/>
  <c r="I77" i="1"/>
  <c r="J69" i="1"/>
  <c r="L69" i="1" s="1"/>
  <c r="M69" i="1" s="1"/>
  <c r="J61" i="1"/>
  <c r="L61" i="1" s="1"/>
  <c r="M61" i="1" s="1"/>
  <c r="I53" i="1"/>
  <c r="J53" i="1"/>
  <c r="I45" i="1"/>
  <c r="L45" i="1" s="1"/>
  <c r="I37" i="1"/>
  <c r="L37" i="1" s="1"/>
  <c r="M37" i="1" s="1"/>
  <c r="J29" i="1"/>
  <c r="I29" i="1"/>
  <c r="J21" i="1"/>
  <c r="I21" i="1"/>
  <c r="J13" i="1"/>
  <c r="I13" i="1"/>
  <c r="J301" i="1"/>
  <c r="L301" i="1" s="1"/>
  <c r="M301" i="1" s="1"/>
  <c r="L292" i="1"/>
  <c r="M292" i="1" s="1"/>
  <c r="I373" i="1"/>
  <c r="I189" i="1"/>
  <c r="L179" i="1"/>
  <c r="M179" i="1" s="1"/>
  <c r="L500" i="1"/>
  <c r="M500" i="1" s="1"/>
  <c r="L428" i="1"/>
  <c r="M428" i="1" s="1"/>
  <c r="L364" i="1"/>
  <c r="L348" i="1"/>
  <c r="M348" i="1" s="1"/>
  <c r="L316" i="1"/>
  <c r="L284" i="1"/>
  <c r="L252" i="1"/>
  <c r="M252" i="1" s="1"/>
  <c r="L52" i="1"/>
  <c r="M52" i="1" s="1"/>
  <c r="L28" i="1"/>
  <c r="M28" i="1" s="1"/>
  <c r="J485" i="1"/>
  <c r="L485" i="1" s="1"/>
  <c r="M485" i="1" s="1"/>
  <c r="I381" i="1"/>
  <c r="L381" i="1" s="1"/>
  <c r="L372" i="1"/>
  <c r="M372" i="1" s="1"/>
  <c r="I197" i="1"/>
  <c r="L188" i="1"/>
  <c r="M188" i="1" s="1"/>
  <c r="L116" i="1"/>
  <c r="M116" i="1" s="1"/>
  <c r="J493" i="1"/>
  <c r="L493" i="1" s="1"/>
  <c r="M493" i="1" s="1"/>
  <c r="L484" i="1"/>
  <c r="M484" i="1" s="1"/>
  <c r="J237" i="1"/>
  <c r="L228" i="1"/>
  <c r="L156" i="1"/>
  <c r="I125" i="1"/>
  <c r="L115" i="1"/>
  <c r="M115" i="1" s="1"/>
  <c r="L492" i="1"/>
  <c r="M492" i="1" s="1"/>
  <c r="L491" i="1"/>
  <c r="M491" i="1" s="1"/>
  <c r="L383" i="1"/>
  <c r="M383" i="1" s="1"/>
  <c r="L200" i="1"/>
  <c r="M200" i="1" s="1"/>
  <c r="L191" i="1"/>
  <c r="L72" i="1"/>
  <c r="L63" i="1"/>
  <c r="L455" i="1"/>
  <c r="M455" i="1" s="1"/>
  <c r="L391" i="1"/>
  <c r="L327" i="1"/>
  <c r="L263" i="1"/>
  <c r="L144" i="1"/>
  <c r="L80" i="1"/>
  <c r="L71" i="1"/>
  <c r="L16" i="1"/>
  <c r="L259" i="1"/>
  <c r="M259" i="1" s="1"/>
  <c r="L440" i="1"/>
  <c r="M440" i="1" s="1"/>
  <c r="L463" i="1"/>
  <c r="M463" i="1" s="1"/>
  <c r="L399" i="1"/>
  <c r="M399" i="1" s="1"/>
  <c r="L335" i="1"/>
  <c r="M335" i="1" s="1"/>
  <c r="L280" i="1"/>
  <c r="M280" i="1" s="1"/>
  <c r="L271" i="1"/>
  <c r="M271" i="1" s="1"/>
  <c r="L207" i="1"/>
  <c r="L143" i="1"/>
  <c r="L15" i="1"/>
  <c r="L387" i="1"/>
  <c r="M387" i="1" s="1"/>
  <c r="L331" i="1"/>
  <c r="M331" i="1" s="1"/>
  <c r="L139" i="1"/>
  <c r="M139" i="1" s="1"/>
  <c r="L407" i="1"/>
  <c r="M407" i="1" s="1"/>
  <c r="L279" i="1"/>
  <c r="L215" i="1"/>
  <c r="M215" i="1" s="1"/>
  <c r="L160" i="1"/>
  <c r="M160" i="1" s="1"/>
  <c r="L151" i="1"/>
  <c r="M151" i="1" s="1"/>
  <c r="L96" i="1"/>
  <c r="M96" i="1" s="1"/>
  <c r="L87" i="1"/>
  <c r="M87" i="1" s="1"/>
  <c r="L32" i="1"/>
  <c r="M32" i="1" s="1"/>
  <c r="L23" i="1"/>
  <c r="M23" i="1" s="1"/>
  <c r="L19" i="1"/>
  <c r="L479" i="1"/>
  <c r="M479" i="1" s="1"/>
  <c r="L415" i="1"/>
  <c r="M415" i="1" s="1"/>
  <c r="L351" i="1"/>
  <c r="M351" i="1" s="1"/>
  <c r="L287" i="1"/>
  <c r="M287" i="1" s="1"/>
  <c r="L223" i="1"/>
  <c r="L168" i="1"/>
  <c r="L159" i="1"/>
  <c r="L104" i="1"/>
  <c r="M104" i="1" s="1"/>
  <c r="L95" i="1"/>
  <c r="M95" i="1" s="1"/>
  <c r="L40" i="1"/>
  <c r="M40" i="1" s="1"/>
  <c r="L27" i="1"/>
  <c r="M27" i="1" s="1"/>
  <c r="L487" i="1"/>
  <c r="L359" i="1"/>
  <c r="M359" i="1" s="1"/>
  <c r="L295" i="1"/>
  <c r="M295" i="1" s="1"/>
  <c r="L231" i="1"/>
  <c r="M231" i="1" s="1"/>
  <c r="L176" i="1"/>
  <c r="M176" i="1" s="1"/>
  <c r="L112" i="1"/>
  <c r="M112" i="1" s="1"/>
  <c r="L39" i="1"/>
  <c r="L35" i="1"/>
  <c r="I494" i="1"/>
  <c r="J494" i="1"/>
  <c r="I462" i="1"/>
  <c r="J462" i="1"/>
  <c r="I430" i="1"/>
  <c r="J430" i="1"/>
  <c r="I398" i="1"/>
  <c r="J398" i="1"/>
  <c r="I358" i="1"/>
  <c r="J358" i="1"/>
  <c r="I326" i="1"/>
  <c r="J326" i="1"/>
  <c r="I302" i="1"/>
  <c r="J302" i="1"/>
  <c r="I262" i="1"/>
  <c r="J262" i="1"/>
  <c r="I230" i="1"/>
  <c r="J230" i="1"/>
  <c r="I198" i="1"/>
  <c r="J198" i="1"/>
  <c r="I174" i="1"/>
  <c r="J174" i="1"/>
  <c r="I142" i="1"/>
  <c r="J142" i="1"/>
  <c r="I118" i="1"/>
  <c r="J118" i="1"/>
  <c r="I94" i="1"/>
  <c r="J94" i="1"/>
  <c r="I62" i="1"/>
  <c r="J62" i="1"/>
  <c r="I22" i="1"/>
  <c r="J22" i="1"/>
  <c r="I478" i="1"/>
  <c r="J478" i="1"/>
  <c r="I446" i="1"/>
  <c r="J446" i="1"/>
  <c r="I414" i="1"/>
  <c r="J414" i="1"/>
  <c r="I382" i="1"/>
  <c r="J382" i="1"/>
  <c r="I350" i="1"/>
  <c r="J350" i="1"/>
  <c r="I310" i="1"/>
  <c r="J310" i="1"/>
  <c r="I278" i="1"/>
  <c r="J278" i="1"/>
  <c r="I246" i="1"/>
  <c r="J246" i="1"/>
  <c r="I214" i="1"/>
  <c r="J214" i="1"/>
  <c r="I182" i="1"/>
  <c r="J182" i="1"/>
  <c r="I158" i="1"/>
  <c r="J158" i="1"/>
  <c r="I126" i="1"/>
  <c r="J126" i="1"/>
  <c r="L126" i="1" s="1"/>
  <c r="M126" i="1" s="1"/>
  <c r="I86" i="1"/>
  <c r="J86" i="1"/>
  <c r="I46" i="1"/>
  <c r="J46" i="1"/>
  <c r="I14" i="1"/>
  <c r="J14" i="1"/>
  <c r="I470" i="1"/>
  <c r="J470" i="1"/>
  <c r="I438" i="1"/>
  <c r="J438" i="1"/>
  <c r="I406" i="1"/>
  <c r="J406" i="1"/>
  <c r="I374" i="1"/>
  <c r="J374" i="1"/>
  <c r="I342" i="1"/>
  <c r="J342" i="1"/>
  <c r="I318" i="1"/>
  <c r="J318" i="1"/>
  <c r="I286" i="1"/>
  <c r="J286" i="1"/>
  <c r="I254" i="1"/>
  <c r="J254" i="1"/>
  <c r="I222" i="1"/>
  <c r="J222" i="1"/>
  <c r="I190" i="1"/>
  <c r="J190" i="1"/>
  <c r="I150" i="1"/>
  <c r="J150" i="1"/>
  <c r="I110" i="1"/>
  <c r="J110" i="1"/>
  <c r="I70" i="1"/>
  <c r="J70" i="1"/>
  <c r="I38" i="1"/>
  <c r="J38" i="1"/>
  <c r="I486" i="1"/>
  <c r="J486" i="1"/>
  <c r="I454" i="1"/>
  <c r="J454" i="1"/>
  <c r="I422" i="1"/>
  <c r="J422" i="1"/>
  <c r="I390" i="1"/>
  <c r="J390" i="1"/>
  <c r="I366" i="1"/>
  <c r="J366" i="1"/>
  <c r="I334" i="1"/>
  <c r="J334" i="1"/>
  <c r="I294" i="1"/>
  <c r="J294" i="1"/>
  <c r="I270" i="1"/>
  <c r="J270" i="1"/>
  <c r="I238" i="1"/>
  <c r="J238" i="1"/>
  <c r="I206" i="1"/>
  <c r="J206" i="1"/>
  <c r="I166" i="1"/>
  <c r="J166" i="1"/>
  <c r="I134" i="1"/>
  <c r="J134" i="1"/>
  <c r="I102" i="1"/>
  <c r="J102" i="1"/>
  <c r="I78" i="1"/>
  <c r="J78" i="1"/>
  <c r="I54" i="1"/>
  <c r="J54" i="1"/>
  <c r="I30" i="1"/>
  <c r="J30" i="1"/>
  <c r="L464" i="1"/>
  <c r="M464" i="1" s="1"/>
  <c r="I6" i="1"/>
  <c r="L6" i="1" s="1"/>
  <c r="J9" i="1"/>
  <c r="L9" i="1" s="1"/>
  <c r="M9" i="1" s="1"/>
  <c r="J7" i="1"/>
  <c r="L7" i="1" s="1"/>
  <c r="J5" i="1"/>
  <c r="L5" i="1" s="1"/>
  <c r="J4" i="1"/>
  <c r="L4" i="1" s="1"/>
  <c r="J8" i="1"/>
  <c r="L8" i="1" s="1"/>
  <c r="M8" i="1" s="1"/>
  <c r="N424" i="1" l="1"/>
  <c r="N420" i="1"/>
  <c r="N468" i="1"/>
  <c r="N452" i="1"/>
  <c r="M263" i="1"/>
  <c r="N263" i="1" s="1"/>
  <c r="M226" i="1"/>
  <c r="N226" i="1" s="1"/>
  <c r="M119" i="1"/>
  <c r="N119" i="1" s="1"/>
  <c r="M480" i="1"/>
  <c r="N480" i="1" s="1"/>
  <c r="M473" i="1"/>
  <c r="N473" i="1" s="1"/>
  <c r="M185" i="1"/>
  <c r="N185" i="1" s="1"/>
  <c r="M328" i="1"/>
  <c r="N328" i="1" s="1"/>
  <c r="M412" i="1"/>
  <c r="N412" i="1" s="1"/>
  <c r="M171" i="1"/>
  <c r="N171" i="1" s="1"/>
  <c r="M347" i="1"/>
  <c r="N347" i="1" s="1"/>
  <c r="M83" i="1"/>
  <c r="N83" i="1" s="1"/>
  <c r="M385" i="1"/>
  <c r="N385" i="1" s="1"/>
  <c r="M423" i="1"/>
  <c r="N423" i="1" s="1"/>
  <c r="M79" i="1"/>
  <c r="N79" i="1" s="1"/>
  <c r="M56" i="1"/>
  <c r="N56" i="1" s="1"/>
  <c r="M487" i="1"/>
  <c r="N487" i="1" s="1"/>
  <c r="M327" i="1"/>
  <c r="N327" i="1" s="1"/>
  <c r="M244" i="1"/>
  <c r="N244" i="1" s="1"/>
  <c r="M55" i="1"/>
  <c r="N55" i="1" s="1"/>
  <c r="M296" i="1"/>
  <c r="N296" i="1" s="1"/>
  <c r="M436" i="1"/>
  <c r="N436" i="1" s="1"/>
  <c r="M146" i="1"/>
  <c r="N146" i="1" s="1"/>
  <c r="M98" i="1"/>
  <c r="N98" i="1" s="1"/>
  <c r="M50" i="1"/>
  <c r="N50" i="1" s="1"/>
  <c r="M400" i="1"/>
  <c r="N400" i="1" s="1"/>
  <c r="M459" i="1"/>
  <c r="N459" i="1" s="1"/>
  <c r="M276" i="1"/>
  <c r="N276" i="1" s="1"/>
  <c r="M49" i="1"/>
  <c r="N49" i="1" s="1"/>
  <c r="M322" i="1"/>
  <c r="N322" i="1" s="1"/>
  <c r="M419" i="1"/>
  <c r="N419" i="1" s="1"/>
  <c r="M51" i="1"/>
  <c r="N51" i="1" s="1"/>
  <c r="M417" i="1"/>
  <c r="N417" i="1" s="1"/>
  <c r="M386" i="1"/>
  <c r="N386" i="1" s="1"/>
  <c r="M105" i="1"/>
  <c r="N105" i="1" s="1"/>
  <c r="M26" i="1"/>
  <c r="N26" i="1" s="1"/>
  <c r="M236" i="1"/>
  <c r="N236" i="1" s="1"/>
  <c r="M177" i="1"/>
  <c r="N177" i="1" s="1"/>
  <c r="M409" i="1"/>
  <c r="N409" i="1" s="1"/>
  <c r="M467" i="1"/>
  <c r="N467" i="1" s="1"/>
  <c r="M103" i="1"/>
  <c r="N103" i="1" s="1"/>
  <c r="M439" i="1"/>
  <c r="N439" i="1" s="1"/>
  <c r="M256" i="1"/>
  <c r="N256" i="1" s="1"/>
  <c r="M35" i="1"/>
  <c r="N35" i="1" s="1"/>
  <c r="M15" i="1"/>
  <c r="N15" i="1" s="1"/>
  <c r="M391" i="1"/>
  <c r="N391" i="1" s="1"/>
  <c r="M388" i="1"/>
  <c r="N388" i="1" s="1"/>
  <c r="M303" i="1"/>
  <c r="N303" i="1" s="1"/>
  <c r="M164" i="1"/>
  <c r="N164" i="1" s="1"/>
  <c r="M122" i="1"/>
  <c r="N122" i="1" s="1"/>
  <c r="M178" i="1"/>
  <c r="N178" i="1" s="1"/>
  <c r="M434" i="1"/>
  <c r="N434" i="1" s="1"/>
  <c r="M154" i="1"/>
  <c r="N154" i="1" s="1"/>
  <c r="M466" i="1"/>
  <c r="N466" i="1" s="1"/>
  <c r="M249" i="1"/>
  <c r="N249" i="1" s="1"/>
  <c r="M258" i="1"/>
  <c r="N258" i="1" s="1"/>
  <c r="M456" i="1"/>
  <c r="N456" i="1" s="1"/>
  <c r="M308" i="1"/>
  <c r="N308" i="1" s="1"/>
  <c r="M444" i="1"/>
  <c r="N444" i="1" s="1"/>
  <c r="M113" i="1"/>
  <c r="N113" i="1" s="1"/>
  <c r="M107" i="1"/>
  <c r="N107" i="1" s="1"/>
  <c r="M319" i="1"/>
  <c r="N319" i="1" s="1"/>
  <c r="M167" i="1"/>
  <c r="N167" i="1" s="1"/>
  <c r="M264" i="1"/>
  <c r="N264" i="1" s="1"/>
  <c r="M457" i="1"/>
  <c r="N457" i="1" s="1"/>
  <c r="M132" i="1"/>
  <c r="N132" i="1" s="1"/>
  <c r="M48" i="1"/>
  <c r="N48" i="1" s="1"/>
  <c r="M448" i="1"/>
  <c r="N448" i="1" s="1"/>
  <c r="M59" i="1"/>
  <c r="N59" i="1" s="1"/>
  <c r="M307" i="1"/>
  <c r="N307" i="1" s="1"/>
  <c r="M194" i="1"/>
  <c r="N194" i="1" s="1"/>
  <c r="M353" i="1"/>
  <c r="N353" i="1" s="1"/>
  <c r="M375" i="1"/>
  <c r="N375" i="1" s="1"/>
  <c r="M447" i="1"/>
  <c r="N447" i="1" s="1"/>
  <c r="M354" i="1"/>
  <c r="N354" i="1" s="1"/>
  <c r="M404" i="1"/>
  <c r="N404" i="1" s="1"/>
  <c r="M133" i="1"/>
  <c r="N133" i="1" s="1"/>
  <c r="M207" i="1"/>
  <c r="N207" i="1" s="1"/>
  <c r="M16" i="1"/>
  <c r="N16" i="1" s="1"/>
  <c r="M63" i="1"/>
  <c r="N63" i="1" s="1"/>
  <c r="M316" i="1"/>
  <c r="N316" i="1" s="1"/>
  <c r="M91" i="1"/>
  <c r="N91" i="1" s="1"/>
  <c r="M140" i="1"/>
  <c r="N140" i="1" s="1"/>
  <c r="M124" i="1"/>
  <c r="N124" i="1" s="1"/>
  <c r="M240" i="1"/>
  <c r="N240" i="1" s="1"/>
  <c r="M99" i="1"/>
  <c r="N99" i="1" s="1"/>
  <c r="M242" i="1"/>
  <c r="N242" i="1" s="1"/>
  <c r="M201" i="1"/>
  <c r="N201" i="1" s="1"/>
  <c r="M17" i="1"/>
  <c r="N17" i="1" s="1"/>
  <c r="M313" i="1"/>
  <c r="N313" i="1" s="1"/>
  <c r="M482" i="1"/>
  <c r="N482" i="1" s="1"/>
  <c r="M272" i="1"/>
  <c r="N272" i="1" s="1"/>
  <c r="M148" i="1"/>
  <c r="N148" i="1" s="1"/>
  <c r="M332" i="1"/>
  <c r="N332" i="1" s="1"/>
  <c r="M273" i="1"/>
  <c r="N273" i="1" s="1"/>
  <c r="M216" i="1"/>
  <c r="N216" i="1" s="1"/>
  <c r="M227" i="1"/>
  <c r="N227" i="1" s="1"/>
  <c r="M435" i="1"/>
  <c r="N435" i="1" s="1"/>
  <c r="M355" i="1"/>
  <c r="N355" i="1" s="1"/>
  <c r="M370" i="1"/>
  <c r="N370" i="1" s="1"/>
  <c r="M143" i="1"/>
  <c r="N143" i="1" s="1"/>
  <c r="M19" i="1"/>
  <c r="N19" i="1" s="1"/>
  <c r="M279" i="1"/>
  <c r="N279" i="1" s="1"/>
  <c r="M71" i="1"/>
  <c r="N71" i="1" s="1"/>
  <c r="M72" i="1"/>
  <c r="N72" i="1" s="1"/>
  <c r="M156" i="1"/>
  <c r="N156" i="1" s="1"/>
  <c r="M45" i="1"/>
  <c r="N45" i="1" s="1"/>
  <c r="M357" i="1"/>
  <c r="N357" i="1" s="1"/>
  <c r="M111" i="1"/>
  <c r="N111" i="1" s="1"/>
  <c r="M196" i="1"/>
  <c r="N196" i="1" s="1"/>
  <c r="M293" i="1"/>
  <c r="N293" i="1" s="1"/>
  <c r="M497" i="1"/>
  <c r="N497" i="1" s="1"/>
  <c r="M298" i="1"/>
  <c r="N298" i="1" s="1"/>
  <c r="M345" i="1"/>
  <c r="N345" i="1" s="1"/>
  <c r="M187" i="1"/>
  <c r="N187" i="1" s="1"/>
  <c r="M416" i="1"/>
  <c r="N416" i="1" s="1"/>
  <c r="M172" i="1"/>
  <c r="N172" i="1" s="1"/>
  <c r="M340" i="1"/>
  <c r="N340" i="1" s="1"/>
  <c r="M120" i="1"/>
  <c r="N120" i="1" s="1"/>
  <c r="M288" i="1"/>
  <c r="N288" i="1" s="1"/>
  <c r="M232" i="1"/>
  <c r="N232" i="1" s="1"/>
  <c r="M427" i="1"/>
  <c r="N427" i="1" s="1"/>
  <c r="M47" i="1"/>
  <c r="N47" i="1" s="1"/>
  <c r="M255" i="1"/>
  <c r="N255" i="1" s="1"/>
  <c r="M471" i="1"/>
  <c r="N471" i="1" s="1"/>
  <c r="M135" i="1"/>
  <c r="N135" i="1" s="1"/>
  <c r="M368" i="1"/>
  <c r="N368" i="1" s="1"/>
  <c r="M223" i="1"/>
  <c r="N223" i="1" s="1"/>
  <c r="M268" i="1"/>
  <c r="N268" i="1" s="1"/>
  <c r="M39" i="1"/>
  <c r="N39" i="1" s="1"/>
  <c r="M284" i="1"/>
  <c r="N284" i="1" s="1"/>
  <c r="M169" i="1"/>
  <c r="N169" i="1" s="1"/>
  <c r="M281" i="1"/>
  <c r="N281" i="1" s="1"/>
  <c r="M80" i="1"/>
  <c r="N80" i="1" s="1"/>
  <c r="M191" i="1"/>
  <c r="N191" i="1" s="1"/>
  <c r="M228" i="1"/>
  <c r="N228" i="1" s="1"/>
  <c r="M381" i="1"/>
  <c r="N381" i="1" s="1"/>
  <c r="M364" i="1"/>
  <c r="N364" i="1" s="1"/>
  <c r="M325" i="1"/>
  <c r="N325" i="1" s="1"/>
  <c r="M243" i="1"/>
  <c r="N243" i="1" s="1"/>
  <c r="M356" i="1"/>
  <c r="N356" i="1" s="1"/>
  <c r="M180" i="1"/>
  <c r="N180" i="1" s="1"/>
  <c r="M367" i="1"/>
  <c r="N367" i="1" s="1"/>
  <c r="M433" i="1"/>
  <c r="N433" i="1" s="1"/>
  <c r="M306" i="1"/>
  <c r="N306" i="1" s="1"/>
  <c r="M67" i="1"/>
  <c r="N67" i="1" s="1"/>
  <c r="M130" i="1"/>
  <c r="N130" i="1" s="1"/>
  <c r="M97" i="1"/>
  <c r="N97" i="1" s="1"/>
  <c r="M330" i="1"/>
  <c r="N330" i="1" s="1"/>
  <c r="M90" i="1"/>
  <c r="N90" i="1" s="1"/>
  <c r="M449" i="1"/>
  <c r="N449" i="1" s="1"/>
  <c r="M57" i="1"/>
  <c r="N57" i="1" s="1"/>
  <c r="M204" i="1"/>
  <c r="N204" i="1" s="1"/>
  <c r="M380" i="1"/>
  <c r="N380" i="1" s="1"/>
  <c r="M25" i="1"/>
  <c r="N25" i="1" s="1"/>
  <c r="M192" i="1"/>
  <c r="N192" i="1" s="1"/>
  <c r="M304" i="1"/>
  <c r="N304" i="1" s="1"/>
  <c r="M208" i="1"/>
  <c r="N208" i="1" s="1"/>
  <c r="M337" i="1"/>
  <c r="N337" i="1" s="1"/>
  <c r="M163" i="1"/>
  <c r="N163" i="1" s="1"/>
  <c r="M291" i="1"/>
  <c r="N291" i="1" s="1"/>
  <c r="M43" i="1"/>
  <c r="N43" i="1" s="1"/>
  <c r="M225" i="1"/>
  <c r="N225" i="1" s="1"/>
  <c r="M64" i="1"/>
  <c r="N64" i="1" s="1"/>
  <c r="M421" i="1"/>
  <c r="N421" i="1" s="1"/>
  <c r="M114" i="1"/>
  <c r="N114" i="1" s="1"/>
  <c r="M474" i="1"/>
  <c r="N474" i="1" s="1"/>
  <c r="M159" i="1"/>
  <c r="N159" i="1" s="1"/>
  <c r="M168" i="1"/>
  <c r="N168" i="1" s="1"/>
  <c r="M144" i="1"/>
  <c r="N144" i="1" s="1"/>
  <c r="M193" i="1"/>
  <c r="N193" i="1" s="1"/>
  <c r="M184" i="1"/>
  <c r="N184" i="1" s="1"/>
  <c r="M239" i="1"/>
  <c r="N239" i="1" s="1"/>
  <c r="M315" i="1"/>
  <c r="N315" i="1" s="1"/>
  <c r="M186" i="1"/>
  <c r="N186" i="1" s="1"/>
  <c r="M73" i="1"/>
  <c r="N73" i="1" s="1"/>
  <c r="M338" i="1"/>
  <c r="N338" i="1" s="1"/>
  <c r="M297" i="1"/>
  <c r="N297" i="1" s="1"/>
  <c r="M153" i="1"/>
  <c r="N153" i="1" s="1"/>
  <c r="M360" i="1"/>
  <c r="N360" i="1" s="1"/>
  <c r="M411" i="1"/>
  <c r="N411" i="1" s="1"/>
  <c r="M220" i="1"/>
  <c r="N220" i="1" s="1"/>
  <c r="M396" i="1"/>
  <c r="N396" i="1" s="1"/>
  <c r="M432" i="1"/>
  <c r="N432" i="1" s="1"/>
  <c r="N324" i="1"/>
  <c r="N44" i="1"/>
  <c r="N3" i="1"/>
  <c r="N443" i="1"/>
  <c r="L453" i="1"/>
  <c r="N283" i="1"/>
  <c r="N131" i="1"/>
  <c r="N499" i="1"/>
  <c r="L174" i="1"/>
  <c r="M174" i="1" s="1"/>
  <c r="N84" i="1"/>
  <c r="N162" i="1"/>
  <c r="N490" i="1"/>
  <c r="L390" i="1"/>
  <c r="M390" i="1" s="1"/>
  <c r="N379" i="1"/>
  <c r="N265" i="1"/>
  <c r="N2" i="1"/>
  <c r="N346" i="1"/>
  <c r="N209" i="1"/>
  <c r="N496" i="1"/>
  <c r="N123" i="1"/>
  <c r="N195" i="1"/>
  <c r="L141" i="1"/>
  <c r="N60" i="1"/>
  <c r="L53" i="1"/>
  <c r="L309" i="1"/>
  <c r="L78" i="1"/>
  <c r="N475" i="1"/>
  <c r="L230" i="1"/>
  <c r="N395" i="1"/>
  <c r="N75" i="1"/>
  <c r="N399" i="1"/>
  <c r="L117" i="1"/>
  <c r="L213" i="1"/>
  <c r="L166" i="1"/>
  <c r="L422" i="1"/>
  <c r="L85" i="1"/>
  <c r="N282" i="1"/>
  <c r="L102" i="1"/>
  <c r="M102" i="1" s="1"/>
  <c r="L366" i="1"/>
  <c r="L486" i="1"/>
  <c r="L262" i="1"/>
  <c r="L277" i="1"/>
  <c r="L478" i="1"/>
  <c r="N290" i="1"/>
  <c r="L77" i="1"/>
  <c r="N441" i="1"/>
  <c r="N36" i="1"/>
  <c r="N251" i="1"/>
  <c r="N371" i="1"/>
  <c r="N41" i="1"/>
  <c r="L222" i="1"/>
  <c r="N393" i="1"/>
  <c r="L14" i="1"/>
  <c r="N339" i="1"/>
  <c r="L477" i="1"/>
  <c r="N100" i="1"/>
  <c r="N76" i="1"/>
  <c r="L46" i="1"/>
  <c r="L189" i="1"/>
  <c r="N65" i="1"/>
  <c r="N121" i="1"/>
  <c r="N12" i="1"/>
  <c r="N211" i="1"/>
  <c r="N410" i="1"/>
  <c r="N275" i="1"/>
  <c r="N219" i="1"/>
  <c r="N488" i="1"/>
  <c r="N250" i="1"/>
  <c r="N378" i="1"/>
  <c r="N489" i="1"/>
  <c r="N18" i="1"/>
  <c r="N58" i="1"/>
  <c r="M4" i="1"/>
  <c r="N4" i="1" s="1"/>
  <c r="M5" i="1"/>
  <c r="N5" i="1" s="1"/>
  <c r="N450" i="1"/>
  <c r="N129" i="1"/>
  <c r="N362" i="1"/>
  <c r="N369" i="1"/>
  <c r="N361" i="1"/>
  <c r="N401" i="1"/>
  <c r="N66" i="1"/>
  <c r="N425" i="1"/>
  <c r="N314" i="1"/>
  <c r="N137" i="1"/>
  <c r="M6" i="1"/>
  <c r="N6" i="1" s="1"/>
  <c r="N442" i="1"/>
  <c r="N465" i="1"/>
  <c r="L382" i="1"/>
  <c r="L157" i="1"/>
  <c r="L333" i="1"/>
  <c r="N218" i="1"/>
  <c r="L125" i="1"/>
  <c r="L206" i="1"/>
  <c r="N352" i="1"/>
  <c r="L310" i="1"/>
  <c r="L461" i="1"/>
  <c r="N377" i="1"/>
  <c r="L150" i="1"/>
  <c r="L326" i="1"/>
  <c r="L237" i="1"/>
  <c r="L21" i="1"/>
  <c r="N257" i="1"/>
  <c r="L214" i="1"/>
  <c r="L38" i="1"/>
  <c r="L29" i="1"/>
  <c r="N106" i="1"/>
  <c r="N42" i="1"/>
  <c r="N426" i="1"/>
  <c r="N11" i="1"/>
  <c r="N260" i="1"/>
  <c r="N82" i="1"/>
  <c r="N92" i="1"/>
  <c r="N145" i="1"/>
  <c r="N392" i="1"/>
  <c r="N498" i="1"/>
  <c r="N305" i="1"/>
  <c r="N241" i="1"/>
  <c r="N152" i="1"/>
  <c r="N202" i="1"/>
  <c r="N233" i="1"/>
  <c r="N481" i="1"/>
  <c r="N458" i="1"/>
  <c r="N81" i="1"/>
  <c r="N224" i="1"/>
  <c r="N170" i="1"/>
  <c r="N274" i="1"/>
  <c r="L414" i="1"/>
  <c r="M414" i="1" s="1"/>
  <c r="N336" i="1"/>
  <c r="L389" i="1"/>
  <c r="M389" i="1" s="1"/>
  <c r="N68" i="1"/>
  <c r="N34" i="1"/>
  <c r="N402" i="1"/>
  <c r="N175" i="1"/>
  <c r="N128" i="1"/>
  <c r="L54" i="1"/>
  <c r="N451" i="1"/>
  <c r="L286" i="1"/>
  <c r="L86" i="1"/>
  <c r="L446" i="1"/>
  <c r="N139" i="1"/>
  <c r="L118" i="1"/>
  <c r="L358" i="1"/>
  <c r="N24" i="1"/>
  <c r="L349" i="1"/>
  <c r="N108" i="1"/>
  <c r="N248" i="1"/>
  <c r="N138" i="1"/>
  <c r="N311" i="1"/>
  <c r="N89" i="1"/>
  <c r="N33" i="1"/>
  <c r="N460" i="1"/>
  <c r="N161" i="1"/>
  <c r="N394" i="1"/>
  <c r="N210" i="1"/>
  <c r="N335" i="1"/>
  <c r="L318" i="1"/>
  <c r="N320" i="1"/>
  <c r="N267" i="1"/>
  <c r="L197" i="1"/>
  <c r="L373" i="1"/>
  <c r="L13" i="1"/>
  <c r="L181" i="1"/>
  <c r="L405" i="1"/>
  <c r="L469" i="1"/>
  <c r="N266" i="1"/>
  <c r="N476" i="1"/>
  <c r="N321" i="1"/>
  <c r="N329" i="1"/>
  <c r="N212" i="1"/>
  <c r="N10" i="1"/>
  <c r="N9" i="1"/>
  <c r="L334" i="1"/>
  <c r="L454" i="1"/>
  <c r="M454" i="1" s="1"/>
  <c r="N463" i="1"/>
  <c r="L70" i="1"/>
  <c r="L342" i="1"/>
  <c r="N384" i="1"/>
  <c r="L246" i="1"/>
  <c r="L430" i="1"/>
  <c r="N183" i="1"/>
  <c r="L413" i="1"/>
  <c r="N418" i="1"/>
  <c r="N431" i="1"/>
  <c r="N235" i="1"/>
  <c r="N217" i="1"/>
  <c r="L254" i="1"/>
  <c r="L198" i="1"/>
  <c r="N234" i="1"/>
  <c r="L93" i="1"/>
  <c r="M93" i="1" s="1"/>
  <c r="L341" i="1"/>
  <c r="N495" i="1"/>
  <c r="N247" i="1"/>
  <c r="N289" i="1"/>
  <c r="N20" i="1"/>
  <c r="N300" i="1"/>
  <c r="N155" i="1"/>
  <c r="N74" i="1"/>
  <c r="M7" i="1"/>
  <c r="N7" i="1" s="1"/>
  <c r="N445" i="1"/>
  <c r="N245" i="1"/>
  <c r="N261" i="1"/>
  <c r="N61" i="1"/>
  <c r="N229" i="1"/>
  <c r="N69" i="1"/>
  <c r="N165" i="1"/>
  <c r="N205" i="1"/>
  <c r="N8" i="1"/>
  <c r="N317" i="1"/>
  <c r="N429" i="1"/>
  <c r="L270" i="1"/>
  <c r="L158" i="1"/>
  <c r="N331" i="1"/>
  <c r="N32" i="1"/>
  <c r="N407" i="1"/>
  <c r="N127" i="1"/>
  <c r="N491" i="1"/>
  <c r="N299" i="1"/>
  <c r="N372" i="1"/>
  <c r="N292" i="1"/>
  <c r="L294" i="1"/>
  <c r="L110" i="1"/>
  <c r="L470" i="1"/>
  <c r="N280" i="1"/>
  <c r="L182" i="1"/>
  <c r="M182" i="1" s="1"/>
  <c r="L278" i="1"/>
  <c r="M278" i="1" s="1"/>
  <c r="N387" i="1"/>
  <c r="L462" i="1"/>
  <c r="N376" i="1"/>
  <c r="N87" i="1"/>
  <c r="N199" i="1"/>
  <c r="N136" i="1"/>
  <c r="N483" i="1"/>
  <c r="N301" i="1"/>
  <c r="L269" i="1"/>
  <c r="M269" i="1" s="1"/>
  <c r="L397" i="1"/>
  <c r="M397" i="1" s="1"/>
  <c r="N27" i="1"/>
  <c r="N287" i="1"/>
  <c r="N96" i="1"/>
  <c r="N271" i="1"/>
  <c r="N147" i="1"/>
  <c r="N101" i="1"/>
  <c r="N365" i="1"/>
  <c r="N88" i="1"/>
  <c r="N351" i="1"/>
  <c r="N151" i="1"/>
  <c r="N323" i="1"/>
  <c r="N200" i="1"/>
  <c r="N437" i="1"/>
  <c r="N112" i="1"/>
  <c r="N259" i="1"/>
  <c r="N348" i="1"/>
  <c r="L374" i="1"/>
  <c r="N203" i="1"/>
  <c r="L22" i="1"/>
  <c r="M22" i="1" s="1"/>
  <c r="N31" i="1"/>
  <c r="N403" i="1"/>
  <c r="L190" i="1"/>
  <c r="L406" i="1"/>
  <c r="M406" i="1" s="1"/>
  <c r="L350" i="1"/>
  <c r="N312" i="1"/>
  <c r="L62" i="1"/>
  <c r="L142" i="1"/>
  <c r="L494" i="1"/>
  <c r="N472" i="1"/>
  <c r="N176" i="1"/>
  <c r="N40" i="1"/>
  <c r="N415" i="1"/>
  <c r="N160" i="1"/>
  <c r="N485" i="1"/>
  <c r="N428" i="1"/>
  <c r="N179" i="1"/>
  <c r="L221" i="1"/>
  <c r="M221" i="1" s="1"/>
  <c r="N231" i="1"/>
  <c r="N479" i="1"/>
  <c r="N215" i="1"/>
  <c r="N455" i="1"/>
  <c r="N116" i="1"/>
  <c r="N109" i="1"/>
  <c r="N173" i="1"/>
  <c r="N95" i="1"/>
  <c r="N492" i="1"/>
  <c r="N484" i="1"/>
  <c r="N28" i="1"/>
  <c r="N500" i="1"/>
  <c r="N253" i="1"/>
  <c r="L30" i="1"/>
  <c r="L134" i="1"/>
  <c r="M134" i="1" s="1"/>
  <c r="L238" i="1"/>
  <c r="M238" i="1" s="1"/>
  <c r="L438" i="1"/>
  <c r="M438" i="1" s="1"/>
  <c r="N440" i="1"/>
  <c r="L94" i="1"/>
  <c r="L302" i="1"/>
  <c r="L398" i="1"/>
  <c r="N295" i="1"/>
  <c r="N104" i="1"/>
  <c r="N383" i="1"/>
  <c r="N115" i="1"/>
  <c r="N493" i="1"/>
  <c r="N188" i="1"/>
  <c r="N52" i="1"/>
  <c r="N363" i="1"/>
  <c r="L149" i="1"/>
  <c r="M149" i="1" s="1"/>
  <c r="N359" i="1"/>
  <c r="N23" i="1"/>
  <c r="N343" i="1"/>
  <c r="N252" i="1"/>
  <c r="N37" i="1"/>
  <c r="N285" i="1"/>
  <c r="N390" i="1"/>
  <c r="N102" i="1"/>
  <c r="N408" i="1"/>
  <c r="N344" i="1"/>
  <c r="N126" i="1"/>
  <c r="N464" i="1"/>
  <c r="N174" i="1" l="1"/>
  <c r="M181" i="1"/>
  <c r="N181" i="1" s="1"/>
  <c r="M46" i="1"/>
  <c r="N46" i="1" s="1"/>
  <c r="M166" i="1"/>
  <c r="N166" i="1" s="1"/>
  <c r="M190" i="1"/>
  <c r="N190" i="1" s="1"/>
  <c r="M13" i="1"/>
  <c r="N13" i="1" s="1"/>
  <c r="M286" i="1"/>
  <c r="N286" i="1" s="1"/>
  <c r="M29" i="1"/>
  <c r="N29" i="1" s="1"/>
  <c r="M157" i="1"/>
  <c r="N157" i="1" s="1"/>
  <c r="M262" i="1"/>
  <c r="N262" i="1" s="1"/>
  <c r="M213" i="1"/>
  <c r="N213" i="1" s="1"/>
  <c r="M309" i="1"/>
  <c r="N309" i="1" s="1"/>
  <c r="M277" i="1"/>
  <c r="N277" i="1" s="1"/>
  <c r="M342" i="1"/>
  <c r="N342" i="1" s="1"/>
  <c r="M373" i="1"/>
  <c r="N373" i="1" s="1"/>
  <c r="M349" i="1"/>
  <c r="N349" i="1" s="1"/>
  <c r="M38" i="1"/>
  <c r="N38" i="1" s="1"/>
  <c r="M461" i="1"/>
  <c r="N461" i="1" s="1"/>
  <c r="M382" i="1"/>
  <c r="N382" i="1" s="1"/>
  <c r="M486" i="1"/>
  <c r="N486" i="1" s="1"/>
  <c r="M117" i="1"/>
  <c r="N117" i="1" s="1"/>
  <c r="M53" i="1"/>
  <c r="N53" i="1" s="1"/>
  <c r="M494" i="1"/>
  <c r="N494" i="1" s="1"/>
  <c r="M70" i="1"/>
  <c r="N70" i="1" s="1"/>
  <c r="M197" i="1"/>
  <c r="N197" i="1" s="1"/>
  <c r="M54" i="1"/>
  <c r="N54" i="1" s="1"/>
  <c r="M214" i="1"/>
  <c r="N214" i="1" s="1"/>
  <c r="M310" i="1"/>
  <c r="N310" i="1" s="1"/>
  <c r="M477" i="1"/>
  <c r="N477" i="1" s="1"/>
  <c r="M366" i="1"/>
  <c r="N366" i="1" s="1"/>
  <c r="M30" i="1"/>
  <c r="N30" i="1" s="1"/>
  <c r="M142" i="1"/>
  <c r="N142" i="1" s="1"/>
  <c r="M470" i="1"/>
  <c r="N470" i="1" s="1"/>
  <c r="M341" i="1"/>
  <c r="N341" i="1" s="1"/>
  <c r="M358" i="1"/>
  <c r="N358" i="1" s="1"/>
  <c r="M141" i="1"/>
  <c r="N141" i="1" s="1"/>
  <c r="M270" i="1"/>
  <c r="N270" i="1" s="1"/>
  <c r="M78" i="1"/>
  <c r="N78" i="1" s="1"/>
  <c r="M398" i="1"/>
  <c r="N398" i="1" s="1"/>
  <c r="M62" i="1"/>
  <c r="N62" i="1" s="1"/>
  <c r="M110" i="1"/>
  <c r="N110" i="1" s="1"/>
  <c r="M413" i="1"/>
  <c r="N413" i="1" s="1"/>
  <c r="M118" i="1"/>
  <c r="N118" i="1" s="1"/>
  <c r="M21" i="1"/>
  <c r="N21" i="1" s="1"/>
  <c r="M206" i="1"/>
  <c r="N206" i="1" s="1"/>
  <c r="M14" i="1"/>
  <c r="N14" i="1" s="1"/>
  <c r="M77" i="1"/>
  <c r="N77" i="1" s="1"/>
  <c r="M453" i="1"/>
  <c r="N453" i="1" s="1"/>
  <c r="M254" i="1"/>
  <c r="N254" i="1" s="1"/>
  <c r="M333" i="1"/>
  <c r="N333" i="1" s="1"/>
  <c r="M302" i="1"/>
  <c r="N302" i="1" s="1"/>
  <c r="M374" i="1"/>
  <c r="N374" i="1" s="1"/>
  <c r="M294" i="1"/>
  <c r="N294" i="1" s="1"/>
  <c r="M334" i="1"/>
  <c r="N334" i="1" s="1"/>
  <c r="M469" i="1"/>
  <c r="N469" i="1" s="1"/>
  <c r="M318" i="1"/>
  <c r="N318" i="1" s="1"/>
  <c r="M237" i="1"/>
  <c r="N237" i="1" s="1"/>
  <c r="M125" i="1"/>
  <c r="N125" i="1" s="1"/>
  <c r="M85" i="1"/>
  <c r="N85" i="1" s="1"/>
  <c r="M230" i="1"/>
  <c r="N230" i="1" s="1"/>
  <c r="M246" i="1"/>
  <c r="N246" i="1" s="1"/>
  <c r="M86" i="1"/>
  <c r="N86" i="1" s="1"/>
  <c r="M150" i="1"/>
  <c r="N150" i="1" s="1"/>
  <c r="M94" i="1"/>
  <c r="N94" i="1" s="1"/>
  <c r="M350" i="1"/>
  <c r="N350" i="1" s="1"/>
  <c r="M462" i="1"/>
  <c r="N462" i="1" s="1"/>
  <c r="M158" i="1"/>
  <c r="N158" i="1" s="1"/>
  <c r="M198" i="1"/>
  <c r="N198" i="1" s="1"/>
  <c r="M430" i="1"/>
  <c r="N430" i="1" s="1"/>
  <c r="M405" i="1"/>
  <c r="N405" i="1" s="1"/>
  <c r="M446" i="1"/>
  <c r="N446" i="1" s="1"/>
  <c r="M326" i="1"/>
  <c r="N326" i="1" s="1"/>
  <c r="M189" i="1"/>
  <c r="N189" i="1" s="1"/>
  <c r="M222" i="1"/>
  <c r="N222" i="1" s="1"/>
  <c r="M478" i="1"/>
  <c r="N478" i="1" s="1"/>
  <c r="M422" i="1"/>
  <c r="N422" i="1" s="1"/>
  <c r="N93" i="1"/>
  <c r="N438" i="1"/>
  <c r="N454" i="1"/>
  <c r="N238" i="1"/>
  <c r="N414" i="1"/>
  <c r="N406" i="1"/>
  <c r="N22" i="1"/>
  <c r="N389" i="1"/>
  <c r="N182" i="1"/>
  <c r="N269" i="1"/>
  <c r="N397" i="1"/>
  <c r="N134" i="1"/>
  <c r="N278" i="1"/>
  <c r="N221" i="1"/>
  <c r="N149" i="1"/>
</calcChain>
</file>

<file path=xl/sharedStrings.xml><?xml version="1.0" encoding="utf-8"?>
<sst xmlns="http://schemas.openxmlformats.org/spreadsheetml/2006/main" count="2509" uniqueCount="537">
  <si>
    <t>State</t>
  </si>
  <si>
    <t>City</t>
  </si>
  <si>
    <t>Variant</t>
  </si>
  <si>
    <t>Insurance</t>
  </si>
  <si>
    <t>Revenue</t>
  </si>
  <si>
    <t>Profit</t>
  </si>
  <si>
    <t>Order ID</t>
  </si>
  <si>
    <t>Order Date</t>
  </si>
  <si>
    <t>Dealer Name</t>
  </si>
  <si>
    <t>Units Sold</t>
  </si>
  <si>
    <t>RTO Tax</t>
  </si>
  <si>
    <t>Accessories Sales</t>
  </si>
  <si>
    <t>Total Cost</t>
  </si>
  <si>
    <t>Ex Showroom Price</t>
  </si>
  <si>
    <t>Maharashtra</t>
  </si>
  <si>
    <t>Karnataka</t>
  </si>
  <si>
    <t>Tamil Nadu</t>
  </si>
  <si>
    <t>Delhi</t>
  </si>
  <si>
    <t>Gujarat</t>
  </si>
  <si>
    <t xml:space="preserve">Standard </t>
  </si>
  <si>
    <t>Custom</t>
  </si>
  <si>
    <t>Chrome</t>
  </si>
  <si>
    <t>Mumbai</t>
  </si>
  <si>
    <t>RE Mumbai Central</t>
  </si>
  <si>
    <t>Pune</t>
  </si>
  <si>
    <t>RE Pune Motors</t>
  </si>
  <si>
    <t>Bangalore</t>
  </si>
  <si>
    <t>RE Bangalore South</t>
  </si>
  <si>
    <t>Mysore</t>
  </si>
  <si>
    <t>RE Mysore Riders</t>
  </si>
  <si>
    <t>Chennai</t>
  </si>
  <si>
    <t>RE Chennai Motors</t>
  </si>
  <si>
    <t>Coimbatore</t>
  </si>
  <si>
    <t>RE Coimbatore Wheels</t>
  </si>
  <si>
    <t>New Delhi</t>
  </si>
  <si>
    <t>RE Delhi Prime</t>
  </si>
  <si>
    <t>Ahmedabad</t>
  </si>
  <si>
    <t>RE Ahmedabad Riders</t>
  </si>
  <si>
    <t>GT 650-01</t>
  </si>
  <si>
    <t>GT 650-02</t>
  </si>
  <si>
    <t>GT 650-03</t>
  </si>
  <si>
    <t>GT 650-04</t>
  </si>
  <si>
    <t>GT 650-05</t>
  </si>
  <si>
    <t>GT 650-06</t>
  </si>
  <si>
    <t>GT 650-07</t>
  </si>
  <si>
    <t>GT 650-08</t>
  </si>
  <si>
    <t>GT 650-09</t>
  </si>
  <si>
    <t>GT 650-10</t>
  </si>
  <si>
    <t>GT 650-11</t>
  </si>
  <si>
    <t>GT 650-12</t>
  </si>
  <si>
    <t>GT 650-13</t>
  </si>
  <si>
    <t>GT 650-14</t>
  </si>
  <si>
    <t>GT 650-15</t>
  </si>
  <si>
    <t>GT 650-16</t>
  </si>
  <si>
    <t>GT 650-17</t>
  </si>
  <si>
    <t>GT 650-18</t>
  </si>
  <si>
    <t>GT 650-19</t>
  </si>
  <si>
    <t>GT 650-20</t>
  </si>
  <si>
    <t>GT 650-21</t>
  </si>
  <si>
    <t>GT 650-22</t>
  </si>
  <si>
    <t>GT 650-23</t>
  </si>
  <si>
    <t>GT 650-24</t>
  </si>
  <si>
    <t>GT 650-25</t>
  </si>
  <si>
    <t>GT 650-26</t>
  </si>
  <si>
    <t>GT 650-27</t>
  </si>
  <si>
    <t>GT 650-28</t>
  </si>
  <si>
    <t>GT 650-29</t>
  </si>
  <si>
    <t>GT 650-30</t>
  </si>
  <si>
    <t>GT 650-31</t>
  </si>
  <si>
    <t>GT 650-32</t>
  </si>
  <si>
    <t>GT 650-33</t>
  </si>
  <si>
    <t>GT 650-34</t>
  </si>
  <si>
    <t>GT 650-35</t>
  </si>
  <si>
    <t>GT 650-36</t>
  </si>
  <si>
    <t>GT 650-37</t>
  </si>
  <si>
    <t>GT 650-38</t>
  </si>
  <si>
    <t>GT 650-39</t>
  </si>
  <si>
    <t>GT 650-40</t>
  </si>
  <si>
    <t>GT 650-41</t>
  </si>
  <si>
    <t>GT 650-42</t>
  </si>
  <si>
    <t>GT 650-43</t>
  </si>
  <si>
    <t>GT 650-44</t>
  </si>
  <si>
    <t>GT 650-45</t>
  </si>
  <si>
    <t>GT 650-46</t>
  </si>
  <si>
    <t>GT 650-47</t>
  </si>
  <si>
    <t>GT 650-48</t>
  </si>
  <si>
    <t>GT 650-49</t>
  </si>
  <si>
    <t>GT 650-50</t>
  </si>
  <si>
    <t>GT 650-51</t>
  </si>
  <si>
    <t>GT 650-52</t>
  </si>
  <si>
    <t>GT 650-53</t>
  </si>
  <si>
    <t>GT 650-54</t>
  </si>
  <si>
    <t>GT 650-55</t>
  </si>
  <si>
    <t>GT 650-56</t>
  </si>
  <si>
    <t>GT 650-57</t>
  </si>
  <si>
    <t>GT 650-58</t>
  </si>
  <si>
    <t>GT 650-59</t>
  </si>
  <si>
    <t>GT 650-60</t>
  </si>
  <si>
    <t>GT 650-61</t>
  </si>
  <si>
    <t>GT 650-62</t>
  </si>
  <si>
    <t>GT 650-63</t>
  </si>
  <si>
    <t>GT 650-64</t>
  </si>
  <si>
    <t>GT 650-65</t>
  </si>
  <si>
    <t>GT 650-66</t>
  </si>
  <si>
    <t>GT 650-67</t>
  </si>
  <si>
    <t>GT 650-68</t>
  </si>
  <si>
    <t>GT 650-69</t>
  </si>
  <si>
    <t>GT 650-70</t>
  </si>
  <si>
    <t>GT 650-71</t>
  </si>
  <si>
    <t>GT 650-72</t>
  </si>
  <si>
    <t>GT 650-73</t>
  </si>
  <si>
    <t>GT 650-74</t>
  </si>
  <si>
    <t>GT 650-75</t>
  </si>
  <si>
    <t>GT 650-76</t>
  </si>
  <si>
    <t>GT 650-77</t>
  </si>
  <si>
    <t>GT 650-78</t>
  </si>
  <si>
    <t>GT 650-79</t>
  </si>
  <si>
    <t>GT 650-80</t>
  </si>
  <si>
    <t>GT 650-81</t>
  </si>
  <si>
    <t>GT 650-82</t>
  </si>
  <si>
    <t>GT 650-83</t>
  </si>
  <si>
    <t>GT 650-84</t>
  </si>
  <si>
    <t>GT 650-85</t>
  </si>
  <si>
    <t>GT 650-86</t>
  </si>
  <si>
    <t>GT 650-87</t>
  </si>
  <si>
    <t>GT 650-88</t>
  </si>
  <si>
    <t>GT 650-89</t>
  </si>
  <si>
    <t>GT 650-90</t>
  </si>
  <si>
    <t>GT 650-91</t>
  </si>
  <si>
    <t>GT 650-92</t>
  </si>
  <si>
    <t>GT 650-93</t>
  </si>
  <si>
    <t>GT 650-94</t>
  </si>
  <si>
    <t>GT 650-95</t>
  </si>
  <si>
    <t>GT 650-96</t>
  </si>
  <si>
    <t>GT 650-97</t>
  </si>
  <si>
    <t>GT 650-98</t>
  </si>
  <si>
    <t>GT 650-99</t>
  </si>
  <si>
    <t>GT 650-100</t>
  </si>
  <si>
    <t>GT 650-101</t>
  </si>
  <si>
    <t>GT 650-102</t>
  </si>
  <si>
    <t>GT 650-103</t>
  </si>
  <si>
    <t>GT 650-104</t>
  </si>
  <si>
    <t>GT 650-105</t>
  </si>
  <si>
    <t>GT 650-106</t>
  </si>
  <si>
    <t>GT 650-107</t>
  </si>
  <si>
    <t>GT 650-108</t>
  </si>
  <si>
    <t>GT 650-109</t>
  </si>
  <si>
    <t>GT 650-110</t>
  </si>
  <si>
    <t>GT 650-111</t>
  </si>
  <si>
    <t>GT 650-112</t>
  </si>
  <si>
    <t>GT 650-113</t>
  </si>
  <si>
    <t>GT 650-114</t>
  </si>
  <si>
    <t>GT 650-115</t>
  </si>
  <si>
    <t>GT 650-116</t>
  </si>
  <si>
    <t>GT 650-117</t>
  </si>
  <si>
    <t>GT 650-118</t>
  </si>
  <si>
    <t>GT 650-119</t>
  </si>
  <si>
    <t>GT 650-120</t>
  </si>
  <si>
    <t>GT 650-121</t>
  </si>
  <si>
    <t>GT 650-122</t>
  </si>
  <si>
    <t>GT 650-123</t>
  </si>
  <si>
    <t>GT 650-124</t>
  </si>
  <si>
    <t>GT 650-125</t>
  </si>
  <si>
    <t>GT 650-126</t>
  </si>
  <si>
    <t>GT 650-127</t>
  </si>
  <si>
    <t>GT 650-128</t>
  </si>
  <si>
    <t>GT 650-129</t>
  </si>
  <si>
    <t>GT 650-130</t>
  </si>
  <si>
    <t>GT 650-131</t>
  </si>
  <si>
    <t>GT 650-132</t>
  </si>
  <si>
    <t>GT 650-133</t>
  </si>
  <si>
    <t>GT 650-134</t>
  </si>
  <si>
    <t>GT 650-135</t>
  </si>
  <si>
    <t>GT 650-136</t>
  </si>
  <si>
    <t>GT 650-137</t>
  </si>
  <si>
    <t>GT 650-138</t>
  </si>
  <si>
    <t>GT 650-139</t>
  </si>
  <si>
    <t>GT 650-140</t>
  </si>
  <si>
    <t>GT 650-141</t>
  </si>
  <si>
    <t>GT 650-142</t>
  </si>
  <si>
    <t>GT 650-143</t>
  </si>
  <si>
    <t>GT 650-144</t>
  </si>
  <si>
    <t>GT 650-145</t>
  </si>
  <si>
    <t>GT 650-146</t>
  </si>
  <si>
    <t>GT 650-147</t>
  </si>
  <si>
    <t>GT 650-148</t>
  </si>
  <si>
    <t>GT 650-149</t>
  </si>
  <si>
    <t>GT 650-150</t>
  </si>
  <si>
    <t>GT 650-151</t>
  </si>
  <si>
    <t>GT 650-152</t>
  </si>
  <si>
    <t>GT 650-153</t>
  </si>
  <si>
    <t>GT 650-154</t>
  </si>
  <si>
    <t>GT 650-155</t>
  </si>
  <si>
    <t>GT 650-156</t>
  </si>
  <si>
    <t>GT 650-157</t>
  </si>
  <si>
    <t>GT 650-158</t>
  </si>
  <si>
    <t>GT 650-159</t>
  </si>
  <si>
    <t>GT 650-160</t>
  </si>
  <si>
    <t>GT 650-161</t>
  </si>
  <si>
    <t>GT 650-162</t>
  </si>
  <si>
    <t>GT 650-163</t>
  </si>
  <si>
    <t>GT 650-164</t>
  </si>
  <si>
    <t>GT 650-165</t>
  </si>
  <si>
    <t>GT 650-166</t>
  </si>
  <si>
    <t>GT 650-167</t>
  </si>
  <si>
    <t>GT 650-168</t>
  </si>
  <si>
    <t>GT 650-169</t>
  </si>
  <si>
    <t>GT 650-170</t>
  </si>
  <si>
    <t>GT 650-171</t>
  </si>
  <si>
    <t>GT 650-172</t>
  </si>
  <si>
    <t>GT 650-173</t>
  </si>
  <si>
    <t>GT 650-174</t>
  </si>
  <si>
    <t>GT 650-175</t>
  </si>
  <si>
    <t>GT 650-176</t>
  </si>
  <si>
    <t>GT 650-177</t>
  </si>
  <si>
    <t>GT 650-178</t>
  </si>
  <si>
    <t>GT 650-179</t>
  </si>
  <si>
    <t>GT 650-180</t>
  </si>
  <si>
    <t>GT 650-181</t>
  </si>
  <si>
    <t>GT 650-182</t>
  </si>
  <si>
    <t>GT 650-183</t>
  </si>
  <si>
    <t>GT 650-184</t>
  </si>
  <si>
    <t>GT 650-185</t>
  </si>
  <si>
    <t>GT 650-186</t>
  </si>
  <si>
    <t>GT 650-187</t>
  </si>
  <si>
    <t>GT 650-188</t>
  </si>
  <si>
    <t>GT 650-189</t>
  </si>
  <si>
    <t>GT 650-190</t>
  </si>
  <si>
    <t>GT 650-191</t>
  </si>
  <si>
    <t>GT 650-192</t>
  </si>
  <si>
    <t>GT 650-193</t>
  </si>
  <si>
    <t>GT 650-194</t>
  </si>
  <si>
    <t>GT 650-195</t>
  </si>
  <si>
    <t>GT 650-196</t>
  </si>
  <si>
    <t>GT 650-197</t>
  </si>
  <si>
    <t>GT 650-198</t>
  </si>
  <si>
    <t>GT 650-199</t>
  </si>
  <si>
    <t>GT 650-200</t>
  </si>
  <si>
    <t>GT 650-201</t>
  </si>
  <si>
    <t>GT 650-202</t>
  </si>
  <si>
    <t>GT 650-203</t>
  </si>
  <si>
    <t>GT 650-204</t>
  </si>
  <si>
    <t>GT 650-205</t>
  </si>
  <si>
    <t>GT 650-206</t>
  </si>
  <si>
    <t>GT 650-207</t>
  </si>
  <si>
    <t>GT 650-208</t>
  </si>
  <si>
    <t>GT 650-209</t>
  </si>
  <si>
    <t>GT 650-210</t>
  </si>
  <si>
    <t>GT 650-211</t>
  </si>
  <si>
    <t>GT 650-212</t>
  </si>
  <si>
    <t>GT 650-213</t>
  </si>
  <si>
    <t>GT 650-214</t>
  </si>
  <si>
    <t>GT 650-215</t>
  </si>
  <si>
    <t>GT 650-216</t>
  </si>
  <si>
    <t>GT 650-217</t>
  </si>
  <si>
    <t>GT 650-218</t>
  </si>
  <si>
    <t>GT 650-219</t>
  </si>
  <si>
    <t>GT 650-220</t>
  </si>
  <si>
    <t>GT 650-221</t>
  </si>
  <si>
    <t>GT 650-222</t>
  </si>
  <si>
    <t>GT 650-223</t>
  </si>
  <si>
    <t>GT 650-224</t>
  </si>
  <si>
    <t>GT 650-225</t>
  </si>
  <si>
    <t>GT 650-226</t>
  </si>
  <si>
    <t>GT 650-227</t>
  </si>
  <si>
    <t>GT 650-228</t>
  </si>
  <si>
    <t>GT 650-229</t>
  </si>
  <si>
    <t>GT 650-230</t>
  </si>
  <si>
    <t>GT 650-231</t>
  </si>
  <si>
    <t>GT 650-232</t>
  </si>
  <si>
    <t>GT 650-233</t>
  </si>
  <si>
    <t>GT 650-234</t>
  </si>
  <si>
    <t>GT 650-235</t>
  </si>
  <si>
    <t>GT 650-236</t>
  </si>
  <si>
    <t>GT 650-237</t>
  </si>
  <si>
    <t>GT 650-238</t>
  </si>
  <si>
    <t>GT 650-239</t>
  </si>
  <si>
    <t>GT 650-240</t>
  </si>
  <si>
    <t>GT 650-241</t>
  </si>
  <si>
    <t>GT 650-242</t>
  </si>
  <si>
    <t>GT 650-243</t>
  </si>
  <si>
    <t>GT 650-244</t>
  </si>
  <si>
    <t>GT 650-245</t>
  </si>
  <si>
    <t>GT 650-246</t>
  </si>
  <si>
    <t>GT 650-247</t>
  </si>
  <si>
    <t>GT 650-248</t>
  </si>
  <si>
    <t>GT 650-249</t>
  </si>
  <si>
    <t>GT 650-250</t>
  </si>
  <si>
    <t>GT 650-251</t>
  </si>
  <si>
    <t>GT 650-252</t>
  </si>
  <si>
    <t>GT 650-253</t>
  </si>
  <si>
    <t>GT 650-254</t>
  </si>
  <si>
    <t>GT 650-255</t>
  </si>
  <si>
    <t>GT 650-256</t>
  </si>
  <si>
    <t>GT 650-257</t>
  </si>
  <si>
    <t>GT 650-258</t>
  </si>
  <si>
    <t>GT 650-259</t>
  </si>
  <si>
    <t>GT 650-260</t>
  </si>
  <si>
    <t>GT 650-261</t>
  </si>
  <si>
    <t>GT 650-262</t>
  </si>
  <si>
    <t>GT 650-263</t>
  </si>
  <si>
    <t>GT 650-264</t>
  </si>
  <si>
    <t>GT 650-265</t>
  </si>
  <si>
    <t>GT 650-266</t>
  </si>
  <si>
    <t>GT 650-267</t>
  </si>
  <si>
    <t>GT 650-268</t>
  </si>
  <si>
    <t>GT 650-269</t>
  </si>
  <si>
    <t>GT 650-270</t>
  </si>
  <si>
    <t>GT 650-271</t>
  </si>
  <si>
    <t>GT 650-272</t>
  </si>
  <si>
    <t>GT 650-273</t>
  </si>
  <si>
    <t>GT 650-274</t>
  </si>
  <si>
    <t>GT 650-275</t>
  </si>
  <si>
    <t>GT 650-276</t>
  </si>
  <si>
    <t>GT 650-277</t>
  </si>
  <si>
    <t>GT 650-278</t>
  </si>
  <si>
    <t>GT 650-279</t>
  </si>
  <si>
    <t>GT 650-280</t>
  </si>
  <si>
    <t>GT 650-281</t>
  </si>
  <si>
    <t>GT 650-282</t>
  </si>
  <si>
    <t>GT 650-283</t>
  </si>
  <si>
    <t>GT 650-284</t>
  </si>
  <si>
    <t>GT 650-285</t>
  </si>
  <si>
    <t>GT 650-286</t>
  </si>
  <si>
    <t>GT 650-287</t>
  </si>
  <si>
    <t>GT 650-288</t>
  </si>
  <si>
    <t>GT 650-289</t>
  </si>
  <si>
    <t>GT 650-290</t>
  </si>
  <si>
    <t>GT 650-291</t>
  </si>
  <si>
    <t>GT 650-292</t>
  </si>
  <si>
    <t>GT 650-293</t>
  </si>
  <si>
    <t>GT 650-294</t>
  </si>
  <si>
    <t>GT 650-295</t>
  </si>
  <si>
    <t>GT 650-296</t>
  </si>
  <si>
    <t>GT 650-297</t>
  </si>
  <si>
    <t>GT 650-298</t>
  </si>
  <si>
    <t>GT 650-299</t>
  </si>
  <si>
    <t>GT 650-300</t>
  </si>
  <si>
    <t>GT 650-301</t>
  </si>
  <si>
    <t>GT 650-302</t>
  </si>
  <si>
    <t>GT 650-303</t>
  </si>
  <si>
    <t>GT 650-304</t>
  </si>
  <si>
    <t>GT 650-305</t>
  </si>
  <si>
    <t>GT 650-306</t>
  </si>
  <si>
    <t>GT 650-307</t>
  </si>
  <si>
    <t>GT 650-308</t>
  </si>
  <si>
    <t>GT 650-309</t>
  </si>
  <si>
    <t>GT 650-310</t>
  </si>
  <si>
    <t>GT 650-311</t>
  </si>
  <si>
    <t>GT 650-312</t>
  </si>
  <si>
    <t>GT 650-313</t>
  </si>
  <si>
    <t>GT 650-314</t>
  </si>
  <si>
    <t>GT 650-315</t>
  </si>
  <si>
    <t>GT 650-316</t>
  </si>
  <si>
    <t>GT 650-317</t>
  </si>
  <si>
    <t>GT 650-318</t>
  </si>
  <si>
    <t>GT 650-319</t>
  </si>
  <si>
    <t>GT 650-320</t>
  </si>
  <si>
    <t>GT 650-321</t>
  </si>
  <si>
    <t>GT 650-322</t>
  </si>
  <si>
    <t>GT 650-323</t>
  </si>
  <si>
    <t>GT 650-324</t>
  </si>
  <si>
    <t>GT 650-325</t>
  </si>
  <si>
    <t>GT 650-326</t>
  </si>
  <si>
    <t>GT 650-327</t>
  </si>
  <si>
    <t>GT 650-328</t>
  </si>
  <si>
    <t>GT 650-329</t>
  </si>
  <si>
    <t>GT 650-330</t>
  </si>
  <si>
    <t>GT 650-331</t>
  </si>
  <si>
    <t>GT 650-332</t>
  </si>
  <si>
    <t>GT 650-333</t>
  </si>
  <si>
    <t>GT 650-334</t>
  </si>
  <si>
    <t>GT 650-335</t>
  </si>
  <si>
    <t>GT 650-336</t>
  </si>
  <si>
    <t>GT 650-337</t>
  </si>
  <si>
    <t>GT 650-338</t>
  </si>
  <si>
    <t>GT 650-339</t>
  </si>
  <si>
    <t>GT 650-340</t>
  </si>
  <si>
    <t>GT 650-341</t>
  </si>
  <si>
    <t>GT 650-342</t>
  </si>
  <si>
    <t>GT 650-343</t>
  </si>
  <si>
    <t>GT 650-344</t>
  </si>
  <si>
    <t>GT 650-345</t>
  </si>
  <si>
    <t>GT 650-346</t>
  </si>
  <si>
    <t>GT 650-347</t>
  </si>
  <si>
    <t>GT 650-348</t>
  </si>
  <si>
    <t>GT 650-349</t>
  </si>
  <si>
    <t>GT 650-350</t>
  </si>
  <si>
    <t>GT 650-351</t>
  </si>
  <si>
    <t>GT 650-352</t>
  </si>
  <si>
    <t>GT 650-353</t>
  </si>
  <si>
    <t>GT 650-354</t>
  </si>
  <si>
    <t>GT 650-355</t>
  </si>
  <si>
    <t>GT 650-356</t>
  </si>
  <si>
    <t>GT 650-357</t>
  </si>
  <si>
    <t>GT 650-358</t>
  </si>
  <si>
    <t>GT 650-359</t>
  </si>
  <si>
    <t>GT 650-360</t>
  </si>
  <si>
    <t>GT 650-361</t>
  </si>
  <si>
    <t>GT 650-362</t>
  </si>
  <si>
    <t>GT 650-363</t>
  </si>
  <si>
    <t>GT 650-364</t>
  </si>
  <si>
    <t>GT 650-365</t>
  </si>
  <si>
    <t>GT 650-366</t>
  </si>
  <si>
    <t>GT 650-367</t>
  </si>
  <si>
    <t>GT 650-368</t>
  </si>
  <si>
    <t>GT 650-369</t>
  </si>
  <si>
    <t>GT 650-370</t>
  </si>
  <si>
    <t>GT 650-371</t>
  </si>
  <si>
    <t>GT 650-372</t>
  </si>
  <si>
    <t>GT 650-373</t>
  </si>
  <si>
    <t>GT 650-374</t>
  </si>
  <si>
    <t>GT 650-375</t>
  </si>
  <si>
    <t>GT 650-376</t>
  </si>
  <si>
    <t>GT 650-377</t>
  </si>
  <si>
    <t>GT 650-378</t>
  </si>
  <si>
    <t>GT 650-379</t>
  </si>
  <si>
    <t>GT 650-380</t>
  </si>
  <si>
    <t>GT 650-381</t>
  </si>
  <si>
    <t>GT 650-382</t>
  </si>
  <si>
    <t>GT 650-383</t>
  </si>
  <si>
    <t>GT 650-384</t>
  </si>
  <si>
    <t>GT 650-385</t>
  </si>
  <si>
    <t>GT 650-386</t>
  </si>
  <si>
    <t>GT 650-387</t>
  </si>
  <si>
    <t>GT 650-388</t>
  </si>
  <si>
    <t>GT 650-389</t>
  </si>
  <si>
    <t>GT 650-390</t>
  </si>
  <si>
    <t>GT 650-391</t>
  </si>
  <si>
    <t>GT 650-392</t>
  </si>
  <si>
    <t>GT 650-393</t>
  </si>
  <si>
    <t>GT 650-394</t>
  </si>
  <si>
    <t>GT 650-395</t>
  </si>
  <si>
    <t>GT 650-396</t>
  </si>
  <si>
    <t>GT 650-397</t>
  </si>
  <si>
    <t>GT 650-398</t>
  </si>
  <si>
    <t>GT 650-399</t>
  </si>
  <si>
    <t>GT 650-400</t>
  </si>
  <si>
    <t>GT 650-401</t>
  </si>
  <si>
    <t>GT 650-402</t>
  </si>
  <si>
    <t>GT 650-403</t>
  </si>
  <si>
    <t>GT 650-404</t>
  </si>
  <si>
    <t>GT 650-405</t>
  </si>
  <si>
    <t>GT 650-406</t>
  </si>
  <si>
    <t>GT 650-407</t>
  </si>
  <si>
    <t>GT 650-408</t>
  </si>
  <si>
    <t>GT 650-409</t>
  </si>
  <si>
    <t>GT 650-410</t>
  </si>
  <si>
    <t>GT 650-411</t>
  </si>
  <si>
    <t>GT 650-412</t>
  </si>
  <si>
    <t>GT 650-413</t>
  </si>
  <si>
    <t>GT 650-414</t>
  </si>
  <si>
    <t>GT 650-415</t>
  </si>
  <si>
    <t>GT 650-416</t>
  </si>
  <si>
    <t>GT 650-417</t>
  </si>
  <si>
    <t>GT 650-418</t>
  </si>
  <si>
    <t>GT 650-419</t>
  </si>
  <si>
    <t>GT 650-420</t>
  </si>
  <si>
    <t>GT 650-421</t>
  </si>
  <si>
    <t>GT 650-422</t>
  </si>
  <si>
    <t>GT 650-423</t>
  </si>
  <si>
    <t>GT 650-424</t>
  </si>
  <si>
    <t>GT 650-425</t>
  </si>
  <si>
    <t>GT 650-426</t>
  </si>
  <si>
    <t>GT 650-427</t>
  </si>
  <si>
    <t>GT 650-428</t>
  </si>
  <si>
    <t>GT 650-429</t>
  </si>
  <si>
    <t>GT 650-430</t>
  </si>
  <si>
    <t>GT 650-431</t>
  </si>
  <si>
    <t>GT 650-432</t>
  </si>
  <si>
    <t>GT 650-433</t>
  </si>
  <si>
    <t>GT 650-434</t>
  </si>
  <si>
    <t>GT 650-435</t>
  </si>
  <si>
    <t>GT 650-436</t>
  </si>
  <si>
    <t>GT 650-437</t>
  </si>
  <si>
    <t>GT 650-438</t>
  </si>
  <si>
    <t>GT 650-439</t>
  </si>
  <si>
    <t>GT 650-440</t>
  </si>
  <si>
    <t>GT 650-441</t>
  </si>
  <si>
    <t>GT 650-442</t>
  </si>
  <si>
    <t>GT 650-443</t>
  </si>
  <si>
    <t>GT 650-444</t>
  </si>
  <si>
    <t>GT 650-445</t>
  </si>
  <si>
    <t>GT 650-446</t>
  </si>
  <si>
    <t>GT 650-447</t>
  </si>
  <si>
    <t>GT 650-448</t>
  </si>
  <si>
    <t>GT 650-449</t>
  </si>
  <si>
    <t>GT 650-450</t>
  </si>
  <si>
    <t>GT 650-451</t>
  </si>
  <si>
    <t>GT 650-452</t>
  </si>
  <si>
    <t>GT 650-453</t>
  </si>
  <si>
    <t>GT 650-454</t>
  </si>
  <si>
    <t>GT 650-455</t>
  </si>
  <si>
    <t>GT 650-456</t>
  </si>
  <si>
    <t>GT 650-457</t>
  </si>
  <si>
    <t>GT 650-458</t>
  </si>
  <si>
    <t>GT 650-459</t>
  </si>
  <si>
    <t>GT 650-460</t>
  </si>
  <si>
    <t>GT 650-461</t>
  </si>
  <si>
    <t>GT 650-462</t>
  </si>
  <si>
    <t>GT 650-463</t>
  </si>
  <si>
    <t>GT 650-464</t>
  </si>
  <si>
    <t>GT 650-465</t>
  </si>
  <si>
    <t>GT 650-466</t>
  </si>
  <si>
    <t>GT 650-467</t>
  </si>
  <si>
    <t>GT 650-468</t>
  </si>
  <si>
    <t>GT 650-469</t>
  </si>
  <si>
    <t>GT 650-470</t>
  </si>
  <si>
    <t>GT 650-471</t>
  </si>
  <si>
    <t>GT 650-472</t>
  </si>
  <si>
    <t>GT 650-473</t>
  </si>
  <si>
    <t>GT 650-474</t>
  </si>
  <si>
    <t>GT 650-475</t>
  </si>
  <si>
    <t>GT 650-476</t>
  </si>
  <si>
    <t>GT 650-477</t>
  </si>
  <si>
    <t>GT 650-478</t>
  </si>
  <si>
    <t>GT 650-479</t>
  </si>
  <si>
    <t>GT 650-480</t>
  </si>
  <si>
    <t>GT 650-481</t>
  </si>
  <si>
    <t>GT 650-482</t>
  </si>
  <si>
    <t>GT 650-483</t>
  </si>
  <si>
    <t>GT 650-484</t>
  </si>
  <si>
    <t>GT 650-485</t>
  </si>
  <si>
    <t>GT 650-486</t>
  </si>
  <si>
    <t>GT 650-487</t>
  </si>
  <si>
    <t>GT 650-488</t>
  </si>
  <si>
    <t>GT 650-489</t>
  </si>
  <si>
    <t>GT 650-490</t>
  </si>
  <si>
    <t>GT 650-491</t>
  </si>
  <si>
    <t>GT 650-492</t>
  </si>
  <si>
    <t>GT 650-493</t>
  </si>
  <si>
    <t>GT 650-494</t>
  </si>
  <si>
    <t>GT 650-495</t>
  </si>
  <si>
    <t>GT 650-496</t>
  </si>
  <si>
    <t>GT 650-497</t>
  </si>
  <si>
    <t>GT 650-498</t>
  </si>
  <si>
    <t>GT 650-499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</si>
</sst>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2" formatCode="#,##0;[Red]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72" fontId="0" fillId="0" borderId="0" xfId="1" applyNumberFormat="1" applyFont="1" applyAlignment="1">
      <alignment horizontal="center" vertical="top"/>
    </xf>
    <xf numFmtId="172" fontId="0" fillId="0" borderId="0" xfId="1" applyNumberFormat="1" applyFont="1" applyAlignment="1">
      <alignment horizontal="center"/>
    </xf>
    <xf numFmtId="172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</cellXfs>
  <cellStyles count="2">
    <cellStyle name="Comma" xfId="1" builtinId="3"/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#,##0;[Red]#,##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#,##0;[Red]#,##0"/>
      <alignment horizontal="center" vertical="bottom" textRotation="0" wrapText="0" indent="0" justifyLastLine="0" shrinkToFit="0" readingOrder="0"/>
    </dxf>
    <dxf>
      <numFmt numFmtId="19" formatCode="dd/mm/yyyy"/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72" formatCode="#,##0;[Red]#,##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#,##0;[Red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#,##0;[Red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#,##0;[Red]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49383A-1777-43C0-8663-704A02117FDB}" name="Table1" displayName="Table1" ref="A1:N500" totalsRowShown="0" headerRowDxfId="5" dataDxfId="6" dataCellStyle="Comma">
  <autoFilter ref="A1:N500" xr:uid="{0849383A-1777-43C0-8663-704A02117FDB}"/>
  <tableColumns count="14">
    <tableColumn id="1" xr3:uid="{302C3262-859F-4CD4-ACB7-754B6F2CB4D7}" name="Order ID"/>
    <tableColumn id="2" xr3:uid="{FBB0945B-3EC9-42C9-906B-402A9E5D1D33}" name="Order Date" dataDxfId="3"/>
    <tableColumn id="3" xr3:uid="{E7A68AA3-2AE7-41BE-898F-20EA6BF5BABB}" name="State" dataDxfId="4"/>
    <tableColumn id="4" xr3:uid="{E6BA4196-DFAC-45C8-B3E2-706E45765A8C}" name="City" dataDxfId="13"/>
    <tableColumn id="5" xr3:uid="{9A8C0941-86F8-49B3-9139-FD5DBEBE08BA}" name="Dealer Name" dataDxfId="12"/>
    <tableColumn id="6" xr3:uid="{752BE6A2-3451-4A8A-B06C-0E3AF7A8FE8B}" name="Variant"/>
    <tableColumn id="7" xr3:uid="{744213D2-E93C-451C-845A-5C8ED5E58960}" name="Units Sold" dataDxfId="0"/>
    <tableColumn id="8" xr3:uid="{3C6A1C56-6DB4-492A-9A7F-D8F63DE73396}" name="Ex Showroom Price" dataDxfId="1" dataCellStyle="Comma">
      <calculatedColumnFormula>IF(TRIM(F2)="Standard",319000,IF(TRIM(F2)="Custom",345000,IF(TRIM(F2)="Chrome",359000,"")))</calculatedColumnFormula>
    </tableColumn>
    <tableColumn id="9" xr3:uid="{E0F39BEC-B505-453C-B28C-E5100B02AAD1}" name="RTO Tax" dataDxfId="11" dataCellStyle="Comma">
      <calculatedColumnFormula>H2*0.08</calculatedColumnFormula>
    </tableColumn>
    <tableColumn id="10" xr3:uid="{02FE6566-4E09-4C24-9B71-1EE6E8991EED}" name="Insurance" dataDxfId="10" dataCellStyle="Comma">
      <calculatedColumnFormula>H2*0.03</calculatedColumnFormula>
    </tableColumn>
    <tableColumn id="11" xr3:uid="{6E56BDE4-A4D8-4D3C-840B-203789B4BF93}" name="Accessories Sales" dataDxfId="2" dataCellStyle="Comma"/>
    <tableColumn id="12" xr3:uid="{0A5D75C8-4A42-4483-9160-50F444D6EC1B}" name="Revenue" dataDxfId="9" dataCellStyle="Comma">
      <calculatedColumnFormula>G2*(H2+I2+J2+K2)</calculatedColumnFormula>
    </tableColumn>
    <tableColumn id="13" xr3:uid="{734B30CE-2EE9-49BA-A002-12FEF2A50773}" name="Total Cost" dataDxfId="8">
      <calculatedColumnFormula>L2*0.8</calculatedColumnFormula>
    </tableColumn>
    <tableColumn id="14" xr3:uid="{0AF913D4-D2F0-4DAE-9597-5D4DDDBFAFED}" name="Profit" dataDxfId="7">
      <calculatedColumnFormula>L2-M2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3B40-F7D1-462E-944D-2C334BF3412F}">
  <dimension ref="A1:N500"/>
  <sheetViews>
    <sheetView tabSelected="1" workbookViewId="0"/>
  </sheetViews>
  <sheetFormatPr defaultRowHeight="14.5" x14ac:dyDescent="0.35"/>
  <cols>
    <col min="1" max="1" width="9.6328125" customWidth="1"/>
    <col min="2" max="2" width="11.7265625" style="1" customWidth="1"/>
    <col min="3" max="3" width="11.08984375" style="2" bestFit="1" customWidth="1"/>
    <col min="4" max="4" width="10.453125" style="2" bestFit="1" customWidth="1"/>
    <col min="5" max="5" width="13.54296875" style="2" customWidth="1"/>
    <col min="6" max="6" width="8.81640625" customWidth="1"/>
    <col min="7" max="7" width="11.36328125" customWidth="1"/>
    <col min="8" max="8" width="18.54296875" customWidth="1"/>
    <col min="9" max="9" width="9.6328125" bestFit="1" customWidth="1"/>
    <col min="10" max="10" width="11.1796875" customWidth="1"/>
    <col min="11" max="11" width="17.7265625" customWidth="1"/>
    <col min="12" max="12" width="10.08984375" customWidth="1"/>
    <col min="13" max="13" width="11.08984375" customWidth="1"/>
  </cols>
  <sheetData>
    <row r="1" spans="1:14" x14ac:dyDescent="0.35">
      <c r="A1" s="2" t="s">
        <v>6</v>
      </c>
      <c r="B1" s="6" t="s">
        <v>7</v>
      </c>
      <c r="C1" s="2" t="s">
        <v>0</v>
      </c>
      <c r="D1" s="2" t="s">
        <v>1</v>
      </c>
      <c r="E1" s="2" t="s">
        <v>8</v>
      </c>
      <c r="F1" s="2" t="s">
        <v>2</v>
      </c>
      <c r="G1" s="2" t="s">
        <v>9</v>
      </c>
      <c r="H1" s="2" t="s">
        <v>13</v>
      </c>
      <c r="I1" s="2" t="s">
        <v>10</v>
      </c>
      <c r="J1" s="2" t="s">
        <v>3</v>
      </c>
      <c r="K1" s="2" t="s">
        <v>11</v>
      </c>
      <c r="L1" s="2" t="s">
        <v>4</v>
      </c>
      <c r="M1" s="2" t="s">
        <v>12</v>
      </c>
      <c r="N1" s="2" t="s">
        <v>5</v>
      </c>
    </row>
    <row r="2" spans="1:14" x14ac:dyDescent="0.35">
      <c r="A2" t="s">
        <v>38</v>
      </c>
      <c r="B2" s="7">
        <v>45327</v>
      </c>
      <c r="C2" s="2" t="s">
        <v>14</v>
      </c>
      <c r="D2" s="2" t="s">
        <v>22</v>
      </c>
      <c r="E2" s="2" t="s">
        <v>23</v>
      </c>
      <c r="F2" t="s">
        <v>19</v>
      </c>
      <c r="G2" s="2">
        <v>3</v>
      </c>
      <c r="H2" s="3">
        <f t="shared" ref="H2:H65" si="0">IF(TRIM(F2)="Standard",319000,IF(TRIM(F2)="Custom",345000,IF(TRIM(F2)="Chrome",359000,"")))</f>
        <v>319000</v>
      </c>
      <c r="I2" s="4">
        <f>H2*0.08</f>
        <v>25520</v>
      </c>
      <c r="J2" s="4">
        <f>H2*0.03</f>
        <v>9570</v>
      </c>
      <c r="K2" s="4">
        <v>23616</v>
      </c>
      <c r="L2" s="4">
        <f>G2*(H2+I2+J2+K2)</f>
        <v>1133118</v>
      </c>
      <c r="M2" s="4">
        <f>L2*0.8</f>
        <v>906494.4</v>
      </c>
      <c r="N2" s="5">
        <f>L2-M2</f>
        <v>226623.59999999998</v>
      </c>
    </row>
    <row r="3" spans="1:14" x14ac:dyDescent="0.35">
      <c r="A3" t="s">
        <v>39</v>
      </c>
      <c r="B3" s="7">
        <v>45617</v>
      </c>
      <c r="C3" s="2" t="s">
        <v>14</v>
      </c>
      <c r="D3" s="2" t="s">
        <v>24</v>
      </c>
      <c r="E3" s="2" t="s">
        <v>25</v>
      </c>
      <c r="F3" t="s">
        <v>20</v>
      </c>
      <c r="G3" s="2">
        <v>4</v>
      </c>
      <c r="H3" s="3">
        <f t="shared" si="0"/>
        <v>345000</v>
      </c>
      <c r="I3" s="4">
        <f t="shared" ref="I3:I9" si="1">H3*0.08</f>
        <v>27600</v>
      </c>
      <c r="J3" s="4">
        <f t="shared" ref="J3:J9" si="2">H3*0.03</f>
        <v>10350</v>
      </c>
      <c r="K3" s="4">
        <v>24042</v>
      </c>
      <c r="L3" s="4">
        <f t="shared" ref="L3:L9" si="3">G3*(H3+I3+J3+K3)</f>
        <v>1627968</v>
      </c>
      <c r="M3" s="4">
        <f t="shared" ref="M3:M66" si="4">L3*0.8</f>
        <v>1302374.4000000001</v>
      </c>
      <c r="N3" s="5">
        <f t="shared" ref="N3:N9" si="5">L3-M3</f>
        <v>325593.59999999986</v>
      </c>
    </row>
    <row r="4" spans="1:14" x14ac:dyDescent="0.35">
      <c r="A4" t="s">
        <v>40</v>
      </c>
      <c r="B4" s="7">
        <v>45563</v>
      </c>
      <c r="C4" s="2" t="s">
        <v>15</v>
      </c>
      <c r="D4" s="2" t="s">
        <v>26</v>
      </c>
      <c r="E4" s="2" t="s">
        <v>27</v>
      </c>
      <c r="F4" t="s">
        <v>21</v>
      </c>
      <c r="G4" s="2">
        <v>3</v>
      </c>
      <c r="H4" s="3">
        <f t="shared" si="0"/>
        <v>359000</v>
      </c>
      <c r="I4" s="4">
        <f t="shared" si="1"/>
        <v>28720</v>
      </c>
      <c r="J4" s="4">
        <f t="shared" si="2"/>
        <v>10770</v>
      </c>
      <c r="K4" s="4">
        <v>10052</v>
      </c>
      <c r="L4" s="4">
        <f t="shared" si="3"/>
        <v>1225626</v>
      </c>
      <c r="M4" s="4">
        <f t="shared" si="4"/>
        <v>980500.8</v>
      </c>
      <c r="N4" s="5">
        <f t="shared" si="5"/>
        <v>245125.19999999995</v>
      </c>
    </row>
    <row r="5" spans="1:14" x14ac:dyDescent="0.35">
      <c r="A5" t="s">
        <v>41</v>
      </c>
      <c r="B5" s="7">
        <v>45350</v>
      </c>
      <c r="C5" s="2" t="s">
        <v>15</v>
      </c>
      <c r="D5" s="2" t="s">
        <v>28</v>
      </c>
      <c r="E5" s="2" t="s">
        <v>29</v>
      </c>
      <c r="F5" t="s">
        <v>20</v>
      </c>
      <c r="G5" s="2">
        <v>4</v>
      </c>
      <c r="H5" s="3">
        <f t="shared" si="0"/>
        <v>345000</v>
      </c>
      <c r="I5" s="4">
        <f t="shared" si="1"/>
        <v>27600</v>
      </c>
      <c r="J5" s="4">
        <f t="shared" si="2"/>
        <v>10350</v>
      </c>
      <c r="K5" s="4">
        <v>24614</v>
      </c>
      <c r="L5" s="4">
        <f t="shared" si="3"/>
        <v>1630256</v>
      </c>
      <c r="M5" s="4">
        <f t="shared" si="4"/>
        <v>1304204.8</v>
      </c>
      <c r="N5" s="5">
        <f t="shared" si="5"/>
        <v>326051.19999999995</v>
      </c>
    </row>
    <row r="6" spans="1:14" x14ac:dyDescent="0.35">
      <c r="A6" t="s">
        <v>42</v>
      </c>
      <c r="B6" s="7">
        <v>45305</v>
      </c>
      <c r="C6" s="2" t="s">
        <v>16</v>
      </c>
      <c r="D6" s="2" t="s">
        <v>30</v>
      </c>
      <c r="E6" s="2" t="s">
        <v>31</v>
      </c>
      <c r="F6" t="s">
        <v>21</v>
      </c>
      <c r="G6" s="2">
        <v>2</v>
      </c>
      <c r="H6" s="3">
        <f t="shared" si="0"/>
        <v>359000</v>
      </c>
      <c r="I6" s="4">
        <f t="shared" si="1"/>
        <v>28720</v>
      </c>
      <c r="J6" s="4">
        <f t="shared" si="2"/>
        <v>10770</v>
      </c>
      <c r="K6" s="4">
        <v>7874</v>
      </c>
      <c r="L6" s="4">
        <f t="shared" si="3"/>
        <v>812728</v>
      </c>
      <c r="M6" s="4">
        <f t="shared" si="4"/>
        <v>650182.40000000002</v>
      </c>
      <c r="N6" s="5">
        <f t="shared" si="5"/>
        <v>162545.59999999998</v>
      </c>
    </row>
    <row r="7" spans="1:14" x14ac:dyDescent="0.35">
      <c r="A7" t="s">
        <v>43</v>
      </c>
      <c r="B7" s="7">
        <v>45582</v>
      </c>
      <c r="C7" s="2" t="s">
        <v>16</v>
      </c>
      <c r="D7" s="2" t="s">
        <v>32</v>
      </c>
      <c r="E7" s="2" t="s">
        <v>33</v>
      </c>
      <c r="F7" t="s">
        <v>19</v>
      </c>
      <c r="G7" s="2">
        <v>4</v>
      </c>
      <c r="H7" s="3">
        <f t="shared" si="0"/>
        <v>319000</v>
      </c>
      <c r="I7" s="4">
        <f t="shared" si="1"/>
        <v>25520</v>
      </c>
      <c r="J7" s="4">
        <f t="shared" si="2"/>
        <v>9570</v>
      </c>
      <c r="K7" s="4">
        <v>9792</v>
      </c>
      <c r="L7" s="4">
        <f t="shared" si="3"/>
        <v>1455528</v>
      </c>
      <c r="M7" s="4">
        <f t="shared" si="4"/>
        <v>1164422.4000000001</v>
      </c>
      <c r="N7" s="5">
        <f t="shared" si="5"/>
        <v>291105.59999999986</v>
      </c>
    </row>
    <row r="8" spans="1:14" x14ac:dyDescent="0.35">
      <c r="A8" t="s">
        <v>44</v>
      </c>
      <c r="B8" s="7">
        <v>45582</v>
      </c>
      <c r="C8" s="2" t="s">
        <v>17</v>
      </c>
      <c r="D8" s="2" t="s">
        <v>34</v>
      </c>
      <c r="E8" s="2" t="s">
        <v>35</v>
      </c>
      <c r="F8" t="s">
        <v>21</v>
      </c>
      <c r="G8" s="2">
        <v>3</v>
      </c>
      <c r="H8" s="3">
        <f t="shared" si="0"/>
        <v>359000</v>
      </c>
      <c r="I8" s="4">
        <f t="shared" si="1"/>
        <v>28720</v>
      </c>
      <c r="J8" s="4">
        <f t="shared" si="2"/>
        <v>10770</v>
      </c>
      <c r="K8" s="4">
        <v>18451</v>
      </c>
      <c r="L8" s="4">
        <f t="shared" si="3"/>
        <v>1250823</v>
      </c>
      <c r="M8" s="4">
        <f t="shared" si="4"/>
        <v>1000658.4</v>
      </c>
      <c r="N8" s="5">
        <f t="shared" si="5"/>
        <v>250164.59999999998</v>
      </c>
    </row>
    <row r="9" spans="1:14" x14ac:dyDescent="0.35">
      <c r="A9" t="s">
        <v>45</v>
      </c>
      <c r="B9" s="7">
        <v>45454</v>
      </c>
      <c r="C9" s="2" t="s">
        <v>18</v>
      </c>
      <c r="D9" s="2" t="s">
        <v>36</v>
      </c>
      <c r="E9" s="2" t="s">
        <v>37</v>
      </c>
      <c r="F9" t="s">
        <v>21</v>
      </c>
      <c r="G9" s="2">
        <v>2</v>
      </c>
      <c r="H9" s="3">
        <f t="shared" si="0"/>
        <v>359000</v>
      </c>
      <c r="I9" s="4">
        <f t="shared" si="1"/>
        <v>28720</v>
      </c>
      <c r="J9" s="4">
        <f t="shared" si="2"/>
        <v>10770</v>
      </c>
      <c r="K9" s="4">
        <v>17720</v>
      </c>
      <c r="L9" s="4">
        <f t="shared" si="3"/>
        <v>832420</v>
      </c>
      <c r="M9" s="4">
        <f t="shared" si="4"/>
        <v>665936</v>
      </c>
      <c r="N9" s="5">
        <f t="shared" si="5"/>
        <v>166484</v>
      </c>
    </row>
    <row r="10" spans="1:14" x14ac:dyDescent="0.35">
      <c r="A10" t="s">
        <v>46</v>
      </c>
      <c r="B10" s="7">
        <v>45402</v>
      </c>
      <c r="C10" s="2" t="s">
        <v>14</v>
      </c>
      <c r="D10" s="2" t="s">
        <v>22</v>
      </c>
      <c r="E10" s="2" t="s">
        <v>23</v>
      </c>
      <c r="F10" t="s">
        <v>19</v>
      </c>
      <c r="G10" s="2">
        <v>2</v>
      </c>
      <c r="H10" s="3">
        <f t="shared" si="0"/>
        <v>319000</v>
      </c>
      <c r="I10" s="4">
        <f t="shared" ref="I10:I73" si="6">H10*0.08</f>
        <v>25520</v>
      </c>
      <c r="J10" s="4">
        <f t="shared" ref="J10:J73" si="7">H10*0.03</f>
        <v>9570</v>
      </c>
      <c r="K10" s="4">
        <v>7392</v>
      </c>
      <c r="L10" s="4">
        <f t="shared" ref="L10:L73" si="8">G10*(H10+I10+J10+K10)</f>
        <v>722964</v>
      </c>
      <c r="M10" s="4">
        <f t="shared" si="4"/>
        <v>578371.20000000007</v>
      </c>
      <c r="N10" s="5">
        <f t="shared" ref="N10:N73" si="9">L10-M10</f>
        <v>144592.79999999993</v>
      </c>
    </row>
    <row r="11" spans="1:14" x14ac:dyDescent="0.35">
      <c r="A11" t="s">
        <v>47</v>
      </c>
      <c r="B11" s="7">
        <v>45592</v>
      </c>
      <c r="C11" s="2" t="s">
        <v>14</v>
      </c>
      <c r="D11" s="2" t="s">
        <v>24</v>
      </c>
      <c r="E11" s="2" t="s">
        <v>25</v>
      </c>
      <c r="F11" t="s">
        <v>20</v>
      </c>
      <c r="G11" s="2">
        <v>5</v>
      </c>
      <c r="H11" s="3">
        <f t="shared" si="0"/>
        <v>345000</v>
      </c>
      <c r="I11" s="4">
        <f t="shared" si="6"/>
        <v>27600</v>
      </c>
      <c r="J11" s="4">
        <f t="shared" si="7"/>
        <v>10350</v>
      </c>
      <c r="K11" s="4">
        <v>14854</v>
      </c>
      <c r="L11" s="4">
        <f t="shared" si="8"/>
        <v>1989020</v>
      </c>
      <c r="M11" s="4">
        <f t="shared" si="4"/>
        <v>1591216</v>
      </c>
      <c r="N11" s="5">
        <f t="shared" si="9"/>
        <v>397804</v>
      </c>
    </row>
    <row r="12" spans="1:14" x14ac:dyDescent="0.35">
      <c r="A12" t="s">
        <v>48</v>
      </c>
      <c r="B12" s="7">
        <v>45505</v>
      </c>
      <c r="C12" s="2" t="s">
        <v>15</v>
      </c>
      <c r="D12" s="2" t="s">
        <v>26</v>
      </c>
      <c r="E12" s="2" t="s">
        <v>27</v>
      </c>
      <c r="F12" t="s">
        <v>21</v>
      </c>
      <c r="G12" s="2">
        <v>4</v>
      </c>
      <c r="H12" s="3">
        <f t="shared" si="0"/>
        <v>359000</v>
      </c>
      <c r="I12" s="4">
        <f t="shared" si="6"/>
        <v>28720</v>
      </c>
      <c r="J12" s="4">
        <f t="shared" si="7"/>
        <v>10770</v>
      </c>
      <c r="K12" s="4">
        <v>13007</v>
      </c>
      <c r="L12" s="4">
        <f t="shared" si="8"/>
        <v>1645988</v>
      </c>
      <c r="M12" s="4">
        <f t="shared" si="4"/>
        <v>1316790.4000000001</v>
      </c>
      <c r="N12" s="5">
        <f t="shared" si="9"/>
        <v>329197.59999999986</v>
      </c>
    </row>
    <row r="13" spans="1:14" x14ac:dyDescent="0.35">
      <c r="A13" t="s">
        <v>49</v>
      </c>
      <c r="B13" s="7">
        <v>45394</v>
      </c>
      <c r="C13" s="2" t="s">
        <v>15</v>
      </c>
      <c r="D13" s="2" t="s">
        <v>28</v>
      </c>
      <c r="E13" s="2" t="s">
        <v>29</v>
      </c>
      <c r="F13" t="s">
        <v>20</v>
      </c>
      <c r="G13" s="2">
        <v>3</v>
      </c>
      <c r="H13" s="3">
        <f t="shared" si="0"/>
        <v>345000</v>
      </c>
      <c r="I13" s="4">
        <f t="shared" si="6"/>
        <v>27600</v>
      </c>
      <c r="J13" s="4">
        <f t="shared" si="7"/>
        <v>10350</v>
      </c>
      <c r="K13" s="4">
        <v>17279</v>
      </c>
      <c r="L13" s="4">
        <f t="shared" si="8"/>
        <v>1200687</v>
      </c>
      <c r="M13" s="4">
        <f t="shared" si="4"/>
        <v>960549.60000000009</v>
      </c>
      <c r="N13" s="5">
        <f t="shared" si="9"/>
        <v>240137.39999999991</v>
      </c>
    </row>
    <row r="14" spans="1:14" x14ac:dyDescent="0.35">
      <c r="A14" t="s">
        <v>50</v>
      </c>
      <c r="B14" s="7">
        <v>45619</v>
      </c>
      <c r="C14" s="2" t="s">
        <v>16</v>
      </c>
      <c r="D14" s="2" t="s">
        <v>30</v>
      </c>
      <c r="E14" s="2" t="s">
        <v>31</v>
      </c>
      <c r="F14" t="s">
        <v>21</v>
      </c>
      <c r="G14" s="2">
        <v>2</v>
      </c>
      <c r="H14" s="3">
        <f t="shared" si="0"/>
        <v>359000</v>
      </c>
      <c r="I14" s="4">
        <f t="shared" si="6"/>
        <v>28720</v>
      </c>
      <c r="J14" s="4">
        <f t="shared" si="7"/>
        <v>10770</v>
      </c>
      <c r="K14" s="4">
        <v>5474</v>
      </c>
      <c r="L14" s="4">
        <f t="shared" si="8"/>
        <v>807928</v>
      </c>
      <c r="M14" s="4">
        <f t="shared" si="4"/>
        <v>646342.40000000002</v>
      </c>
      <c r="N14" s="5">
        <f t="shared" si="9"/>
        <v>161585.59999999998</v>
      </c>
    </row>
    <row r="15" spans="1:14" x14ac:dyDescent="0.35">
      <c r="A15" t="s">
        <v>51</v>
      </c>
      <c r="B15" s="7">
        <v>45583</v>
      </c>
      <c r="C15" s="2" t="s">
        <v>16</v>
      </c>
      <c r="D15" s="2" t="s">
        <v>32</v>
      </c>
      <c r="E15" s="2" t="s">
        <v>33</v>
      </c>
      <c r="F15" t="s">
        <v>19</v>
      </c>
      <c r="G15" s="2">
        <v>2</v>
      </c>
      <c r="H15" s="3">
        <f t="shared" si="0"/>
        <v>319000</v>
      </c>
      <c r="I15" s="4">
        <f t="shared" si="6"/>
        <v>25520</v>
      </c>
      <c r="J15" s="4">
        <f t="shared" si="7"/>
        <v>9570</v>
      </c>
      <c r="K15" s="4">
        <v>8545</v>
      </c>
      <c r="L15" s="4">
        <f t="shared" si="8"/>
        <v>725270</v>
      </c>
      <c r="M15" s="4">
        <f t="shared" si="4"/>
        <v>580216</v>
      </c>
      <c r="N15" s="5">
        <f t="shared" si="9"/>
        <v>145054</v>
      </c>
    </row>
    <row r="16" spans="1:14" x14ac:dyDescent="0.35">
      <c r="A16" t="s">
        <v>52</v>
      </c>
      <c r="B16" s="7">
        <v>45501</v>
      </c>
      <c r="C16" s="2" t="s">
        <v>17</v>
      </c>
      <c r="D16" s="2" t="s">
        <v>34</v>
      </c>
      <c r="E16" s="2" t="s">
        <v>35</v>
      </c>
      <c r="F16" t="s">
        <v>21</v>
      </c>
      <c r="G16" s="2">
        <v>2</v>
      </c>
      <c r="H16" s="3">
        <f t="shared" si="0"/>
        <v>359000</v>
      </c>
      <c r="I16" s="4">
        <f t="shared" si="6"/>
        <v>28720</v>
      </c>
      <c r="J16" s="4">
        <f t="shared" si="7"/>
        <v>10770</v>
      </c>
      <c r="K16" s="4">
        <v>22035</v>
      </c>
      <c r="L16" s="4">
        <f t="shared" si="8"/>
        <v>841050</v>
      </c>
      <c r="M16" s="4">
        <f t="shared" si="4"/>
        <v>672840</v>
      </c>
      <c r="N16" s="5">
        <f t="shared" si="9"/>
        <v>168210</v>
      </c>
    </row>
    <row r="17" spans="1:14" x14ac:dyDescent="0.35">
      <c r="A17" t="s">
        <v>53</v>
      </c>
      <c r="B17" s="7">
        <v>45356</v>
      </c>
      <c r="C17" s="2" t="s">
        <v>18</v>
      </c>
      <c r="D17" s="2" t="s">
        <v>36</v>
      </c>
      <c r="E17" s="2" t="s">
        <v>37</v>
      </c>
      <c r="F17" t="s">
        <v>21</v>
      </c>
      <c r="G17" s="2">
        <v>4</v>
      </c>
      <c r="H17" s="3">
        <f t="shared" si="0"/>
        <v>359000</v>
      </c>
      <c r="I17" s="4">
        <f t="shared" si="6"/>
        <v>28720</v>
      </c>
      <c r="J17" s="4">
        <f t="shared" si="7"/>
        <v>10770</v>
      </c>
      <c r="K17" s="4">
        <v>11730</v>
      </c>
      <c r="L17" s="4">
        <f t="shared" si="8"/>
        <v>1640880</v>
      </c>
      <c r="M17" s="4">
        <f t="shared" si="4"/>
        <v>1312704</v>
      </c>
      <c r="N17" s="5">
        <f t="shared" si="9"/>
        <v>328176</v>
      </c>
    </row>
    <row r="18" spans="1:14" x14ac:dyDescent="0.35">
      <c r="A18" t="s">
        <v>54</v>
      </c>
      <c r="B18" s="7">
        <v>45311</v>
      </c>
      <c r="C18" s="2" t="s">
        <v>14</v>
      </c>
      <c r="D18" s="2" t="s">
        <v>22</v>
      </c>
      <c r="E18" s="2" t="s">
        <v>23</v>
      </c>
      <c r="F18" t="s">
        <v>19</v>
      </c>
      <c r="G18" s="2">
        <v>3</v>
      </c>
      <c r="H18" s="3">
        <f t="shared" si="0"/>
        <v>319000</v>
      </c>
      <c r="I18" s="4">
        <f t="shared" si="6"/>
        <v>25520</v>
      </c>
      <c r="J18" s="4">
        <f t="shared" si="7"/>
        <v>9570</v>
      </c>
      <c r="K18" s="4">
        <v>11775</v>
      </c>
      <c r="L18" s="4">
        <f t="shared" si="8"/>
        <v>1097595</v>
      </c>
      <c r="M18" s="4">
        <f t="shared" si="4"/>
        <v>878076</v>
      </c>
      <c r="N18" s="5">
        <f t="shared" si="9"/>
        <v>219519</v>
      </c>
    </row>
    <row r="19" spans="1:14" x14ac:dyDescent="0.35">
      <c r="A19" t="s">
        <v>55</v>
      </c>
      <c r="B19" s="7">
        <v>45362</v>
      </c>
      <c r="C19" s="2" t="s">
        <v>14</v>
      </c>
      <c r="D19" s="2" t="s">
        <v>24</v>
      </c>
      <c r="E19" s="2" t="s">
        <v>25</v>
      </c>
      <c r="F19" t="s">
        <v>20</v>
      </c>
      <c r="G19" s="2">
        <v>1</v>
      </c>
      <c r="H19" s="3">
        <f t="shared" si="0"/>
        <v>345000</v>
      </c>
      <c r="I19" s="4">
        <f t="shared" si="6"/>
        <v>27600</v>
      </c>
      <c r="J19" s="4">
        <f t="shared" si="7"/>
        <v>10350</v>
      </c>
      <c r="K19" s="4">
        <v>13924</v>
      </c>
      <c r="L19" s="4">
        <f t="shared" si="8"/>
        <v>396874</v>
      </c>
      <c r="M19" s="4">
        <f t="shared" si="4"/>
        <v>317499.2</v>
      </c>
      <c r="N19" s="5">
        <f t="shared" si="9"/>
        <v>79374.799999999988</v>
      </c>
    </row>
    <row r="20" spans="1:14" x14ac:dyDescent="0.35">
      <c r="A20" t="s">
        <v>56</v>
      </c>
      <c r="B20" s="7">
        <v>45576</v>
      </c>
      <c r="C20" s="2" t="s">
        <v>15</v>
      </c>
      <c r="D20" s="2" t="s">
        <v>26</v>
      </c>
      <c r="E20" s="2" t="s">
        <v>27</v>
      </c>
      <c r="F20" t="s">
        <v>21</v>
      </c>
      <c r="G20" s="2">
        <v>3</v>
      </c>
      <c r="H20" s="3">
        <f t="shared" si="0"/>
        <v>359000</v>
      </c>
      <c r="I20" s="4">
        <f t="shared" si="6"/>
        <v>28720</v>
      </c>
      <c r="J20" s="4">
        <f t="shared" si="7"/>
        <v>10770</v>
      </c>
      <c r="K20" s="4">
        <v>7841</v>
      </c>
      <c r="L20" s="4">
        <f t="shared" si="8"/>
        <v>1218993</v>
      </c>
      <c r="M20" s="4">
        <f t="shared" si="4"/>
        <v>975194.4</v>
      </c>
      <c r="N20" s="5">
        <f t="shared" si="9"/>
        <v>243798.59999999998</v>
      </c>
    </row>
    <row r="21" spans="1:14" x14ac:dyDescent="0.35">
      <c r="A21" t="s">
        <v>57</v>
      </c>
      <c r="B21" s="7">
        <v>45476</v>
      </c>
      <c r="C21" s="2" t="s">
        <v>15</v>
      </c>
      <c r="D21" s="2" t="s">
        <v>28</v>
      </c>
      <c r="E21" s="2" t="s">
        <v>29</v>
      </c>
      <c r="F21" t="s">
        <v>20</v>
      </c>
      <c r="G21" s="2">
        <v>3</v>
      </c>
      <c r="H21" s="3">
        <f t="shared" si="0"/>
        <v>345000</v>
      </c>
      <c r="I21" s="4">
        <f t="shared" si="6"/>
        <v>27600</v>
      </c>
      <c r="J21" s="4">
        <f t="shared" si="7"/>
        <v>10350</v>
      </c>
      <c r="K21" s="4">
        <v>5434</v>
      </c>
      <c r="L21" s="4">
        <f t="shared" si="8"/>
        <v>1165152</v>
      </c>
      <c r="M21" s="4">
        <f t="shared" si="4"/>
        <v>932121.60000000009</v>
      </c>
      <c r="N21" s="5">
        <f t="shared" si="9"/>
        <v>233030.39999999991</v>
      </c>
    </row>
    <row r="22" spans="1:14" x14ac:dyDescent="0.35">
      <c r="A22" t="s">
        <v>58</v>
      </c>
      <c r="B22" s="7">
        <v>45344</v>
      </c>
      <c r="C22" s="2" t="s">
        <v>16</v>
      </c>
      <c r="D22" s="2" t="s">
        <v>30</v>
      </c>
      <c r="E22" s="2" t="s">
        <v>31</v>
      </c>
      <c r="F22" t="s">
        <v>21</v>
      </c>
      <c r="G22" s="2">
        <v>4</v>
      </c>
      <c r="H22" s="3">
        <f t="shared" si="0"/>
        <v>359000</v>
      </c>
      <c r="I22" s="4">
        <f t="shared" si="6"/>
        <v>28720</v>
      </c>
      <c r="J22" s="4">
        <f t="shared" si="7"/>
        <v>10770</v>
      </c>
      <c r="K22" s="4">
        <v>9942</v>
      </c>
      <c r="L22" s="4">
        <f t="shared" si="8"/>
        <v>1633728</v>
      </c>
      <c r="M22" s="4">
        <f t="shared" si="4"/>
        <v>1306982.4000000001</v>
      </c>
      <c r="N22" s="5">
        <f t="shared" si="9"/>
        <v>326745.59999999986</v>
      </c>
    </row>
    <row r="23" spans="1:14" x14ac:dyDescent="0.35">
      <c r="A23" t="s">
        <v>59</v>
      </c>
      <c r="B23" s="7">
        <v>45645</v>
      </c>
      <c r="C23" s="2" t="s">
        <v>16</v>
      </c>
      <c r="D23" s="2" t="s">
        <v>32</v>
      </c>
      <c r="E23" s="2" t="s">
        <v>33</v>
      </c>
      <c r="F23" t="s">
        <v>19</v>
      </c>
      <c r="G23" s="2">
        <v>2</v>
      </c>
      <c r="H23" s="3">
        <f t="shared" si="0"/>
        <v>319000</v>
      </c>
      <c r="I23" s="4">
        <f t="shared" si="6"/>
        <v>25520</v>
      </c>
      <c r="J23" s="4">
        <f t="shared" si="7"/>
        <v>9570</v>
      </c>
      <c r="K23" s="4">
        <v>13826</v>
      </c>
      <c r="L23" s="4">
        <f t="shared" si="8"/>
        <v>735832</v>
      </c>
      <c r="M23" s="4">
        <f t="shared" si="4"/>
        <v>588665.59999999998</v>
      </c>
      <c r="N23" s="5">
        <f t="shared" si="9"/>
        <v>147166.40000000002</v>
      </c>
    </row>
    <row r="24" spans="1:14" x14ac:dyDescent="0.35">
      <c r="A24" t="s">
        <v>60</v>
      </c>
      <c r="B24" s="7">
        <v>45646</v>
      </c>
      <c r="C24" s="2" t="s">
        <v>17</v>
      </c>
      <c r="D24" s="2" t="s">
        <v>34</v>
      </c>
      <c r="E24" s="2" t="s">
        <v>35</v>
      </c>
      <c r="F24" t="s">
        <v>21</v>
      </c>
      <c r="G24" s="2">
        <v>1</v>
      </c>
      <c r="H24" s="3">
        <f t="shared" si="0"/>
        <v>359000</v>
      </c>
      <c r="I24" s="4">
        <f t="shared" si="6"/>
        <v>28720</v>
      </c>
      <c r="J24" s="4">
        <f t="shared" si="7"/>
        <v>10770</v>
      </c>
      <c r="K24" s="4">
        <v>12131</v>
      </c>
      <c r="L24" s="4">
        <f t="shared" si="8"/>
        <v>410621</v>
      </c>
      <c r="M24" s="4">
        <f t="shared" si="4"/>
        <v>328496.80000000005</v>
      </c>
      <c r="N24" s="5">
        <f t="shared" si="9"/>
        <v>82124.199999999953</v>
      </c>
    </row>
    <row r="25" spans="1:14" x14ac:dyDescent="0.35">
      <c r="A25" t="s">
        <v>61</v>
      </c>
      <c r="B25" s="7">
        <v>45413</v>
      </c>
      <c r="C25" s="2" t="s">
        <v>18</v>
      </c>
      <c r="D25" s="2" t="s">
        <v>36</v>
      </c>
      <c r="E25" s="2" t="s">
        <v>37</v>
      </c>
      <c r="F25" t="s">
        <v>21</v>
      </c>
      <c r="G25" s="2">
        <v>4</v>
      </c>
      <c r="H25" s="3">
        <f t="shared" si="0"/>
        <v>359000</v>
      </c>
      <c r="I25" s="4">
        <f t="shared" si="6"/>
        <v>28720</v>
      </c>
      <c r="J25" s="4">
        <f t="shared" si="7"/>
        <v>10770</v>
      </c>
      <c r="K25" s="4">
        <v>24880</v>
      </c>
      <c r="L25" s="4">
        <f t="shared" si="8"/>
        <v>1693480</v>
      </c>
      <c r="M25" s="4">
        <f t="shared" si="4"/>
        <v>1354784</v>
      </c>
      <c r="N25" s="5">
        <f t="shared" si="9"/>
        <v>338696</v>
      </c>
    </row>
    <row r="26" spans="1:14" x14ac:dyDescent="0.35">
      <c r="A26" t="s">
        <v>62</v>
      </c>
      <c r="B26" s="7">
        <v>45419</v>
      </c>
      <c r="C26" s="2" t="s">
        <v>14</v>
      </c>
      <c r="D26" s="2" t="s">
        <v>22</v>
      </c>
      <c r="E26" s="2" t="s">
        <v>23</v>
      </c>
      <c r="F26" t="s">
        <v>19</v>
      </c>
      <c r="G26" s="2">
        <v>4</v>
      </c>
      <c r="H26" s="3">
        <f t="shared" si="0"/>
        <v>319000</v>
      </c>
      <c r="I26" s="4">
        <f t="shared" si="6"/>
        <v>25520</v>
      </c>
      <c r="J26" s="4">
        <f t="shared" si="7"/>
        <v>9570</v>
      </c>
      <c r="K26" s="4">
        <v>5921</v>
      </c>
      <c r="L26" s="4">
        <f t="shared" si="8"/>
        <v>1440044</v>
      </c>
      <c r="M26" s="4">
        <f t="shared" si="4"/>
        <v>1152035.2</v>
      </c>
      <c r="N26" s="5">
        <f t="shared" si="9"/>
        <v>288008.80000000005</v>
      </c>
    </row>
    <row r="27" spans="1:14" x14ac:dyDescent="0.35">
      <c r="A27" t="s">
        <v>63</v>
      </c>
      <c r="B27" s="7">
        <v>45557</v>
      </c>
      <c r="C27" s="2" t="s">
        <v>14</v>
      </c>
      <c r="D27" s="2" t="s">
        <v>24</v>
      </c>
      <c r="E27" s="2" t="s">
        <v>25</v>
      </c>
      <c r="F27" t="s">
        <v>20</v>
      </c>
      <c r="G27" s="2">
        <v>2</v>
      </c>
      <c r="H27" s="3">
        <f t="shared" si="0"/>
        <v>345000</v>
      </c>
      <c r="I27" s="4">
        <f t="shared" si="6"/>
        <v>27600</v>
      </c>
      <c r="J27" s="4">
        <f t="shared" si="7"/>
        <v>10350</v>
      </c>
      <c r="K27" s="4">
        <v>19399</v>
      </c>
      <c r="L27" s="4">
        <f t="shared" si="8"/>
        <v>804698</v>
      </c>
      <c r="M27" s="4">
        <f t="shared" si="4"/>
        <v>643758.4</v>
      </c>
      <c r="N27" s="5">
        <f t="shared" si="9"/>
        <v>160939.59999999998</v>
      </c>
    </row>
    <row r="28" spans="1:14" x14ac:dyDescent="0.35">
      <c r="A28" t="s">
        <v>64</v>
      </c>
      <c r="B28" s="7">
        <v>45329</v>
      </c>
      <c r="C28" s="2" t="s">
        <v>15</v>
      </c>
      <c r="D28" s="2" t="s">
        <v>26</v>
      </c>
      <c r="E28" s="2" t="s">
        <v>27</v>
      </c>
      <c r="F28" t="s">
        <v>21</v>
      </c>
      <c r="G28" s="2">
        <v>3</v>
      </c>
      <c r="H28" s="3">
        <f t="shared" si="0"/>
        <v>359000</v>
      </c>
      <c r="I28" s="4">
        <f t="shared" si="6"/>
        <v>28720</v>
      </c>
      <c r="J28" s="4">
        <f t="shared" si="7"/>
        <v>10770</v>
      </c>
      <c r="K28" s="4">
        <v>18905</v>
      </c>
      <c r="L28" s="4">
        <f t="shared" si="8"/>
        <v>1252185</v>
      </c>
      <c r="M28" s="4">
        <f t="shared" si="4"/>
        <v>1001748</v>
      </c>
      <c r="N28" s="5">
        <f t="shared" si="9"/>
        <v>250437</v>
      </c>
    </row>
    <row r="29" spans="1:14" x14ac:dyDescent="0.35">
      <c r="A29" t="s">
        <v>65</v>
      </c>
      <c r="B29" s="7">
        <v>45318</v>
      </c>
      <c r="C29" s="2" t="s">
        <v>15</v>
      </c>
      <c r="D29" s="2" t="s">
        <v>28</v>
      </c>
      <c r="E29" s="2" t="s">
        <v>29</v>
      </c>
      <c r="F29" t="s">
        <v>20</v>
      </c>
      <c r="G29" s="2">
        <v>2</v>
      </c>
      <c r="H29" s="3">
        <f t="shared" si="0"/>
        <v>345000</v>
      </c>
      <c r="I29" s="4">
        <f t="shared" si="6"/>
        <v>27600</v>
      </c>
      <c r="J29" s="4">
        <f t="shared" si="7"/>
        <v>10350</v>
      </c>
      <c r="K29" s="4">
        <v>6382</v>
      </c>
      <c r="L29" s="4">
        <f t="shared" si="8"/>
        <v>778664</v>
      </c>
      <c r="M29" s="4">
        <f t="shared" si="4"/>
        <v>622931.20000000007</v>
      </c>
      <c r="N29" s="5">
        <f t="shared" si="9"/>
        <v>155732.79999999993</v>
      </c>
    </row>
    <row r="30" spans="1:14" x14ac:dyDescent="0.35">
      <c r="A30" t="s">
        <v>66</v>
      </c>
      <c r="B30" s="7">
        <v>45567</v>
      </c>
      <c r="C30" s="2" t="s">
        <v>16</v>
      </c>
      <c r="D30" s="2" t="s">
        <v>30</v>
      </c>
      <c r="E30" s="2" t="s">
        <v>31</v>
      </c>
      <c r="F30" t="s">
        <v>21</v>
      </c>
      <c r="G30" s="2">
        <v>3</v>
      </c>
      <c r="H30" s="3">
        <f t="shared" si="0"/>
        <v>359000</v>
      </c>
      <c r="I30" s="4">
        <f t="shared" si="6"/>
        <v>28720</v>
      </c>
      <c r="J30" s="4">
        <f t="shared" si="7"/>
        <v>10770</v>
      </c>
      <c r="K30" s="4">
        <v>24047</v>
      </c>
      <c r="L30" s="4">
        <f t="shared" si="8"/>
        <v>1267611</v>
      </c>
      <c r="M30" s="4">
        <f t="shared" si="4"/>
        <v>1014088.8</v>
      </c>
      <c r="N30" s="5">
        <f t="shared" si="9"/>
        <v>253522.19999999995</v>
      </c>
    </row>
    <row r="31" spans="1:14" x14ac:dyDescent="0.35">
      <c r="A31" t="s">
        <v>67</v>
      </c>
      <c r="B31" s="7">
        <v>45372</v>
      </c>
      <c r="C31" s="2" t="s">
        <v>16</v>
      </c>
      <c r="D31" s="2" t="s">
        <v>32</v>
      </c>
      <c r="E31" s="2" t="s">
        <v>33</v>
      </c>
      <c r="F31" t="s">
        <v>19</v>
      </c>
      <c r="G31" s="2">
        <v>3</v>
      </c>
      <c r="H31" s="3">
        <f t="shared" si="0"/>
        <v>319000</v>
      </c>
      <c r="I31" s="4">
        <f t="shared" si="6"/>
        <v>25520</v>
      </c>
      <c r="J31" s="4">
        <f t="shared" si="7"/>
        <v>9570</v>
      </c>
      <c r="K31" s="4">
        <v>22263</v>
      </c>
      <c r="L31" s="4">
        <f t="shared" si="8"/>
        <v>1129059</v>
      </c>
      <c r="M31" s="4">
        <f t="shared" si="4"/>
        <v>903247.20000000007</v>
      </c>
      <c r="N31" s="5">
        <f t="shared" si="9"/>
        <v>225811.79999999993</v>
      </c>
    </row>
    <row r="32" spans="1:14" x14ac:dyDescent="0.35">
      <c r="A32" t="s">
        <v>68</v>
      </c>
      <c r="B32" s="7">
        <v>45363</v>
      </c>
      <c r="C32" s="2" t="s">
        <v>17</v>
      </c>
      <c r="D32" s="2" t="s">
        <v>34</v>
      </c>
      <c r="E32" s="2" t="s">
        <v>35</v>
      </c>
      <c r="F32" t="s">
        <v>21</v>
      </c>
      <c r="G32" s="2">
        <v>3</v>
      </c>
      <c r="H32" s="3">
        <f t="shared" si="0"/>
        <v>359000</v>
      </c>
      <c r="I32" s="4">
        <f t="shared" si="6"/>
        <v>28720</v>
      </c>
      <c r="J32" s="4">
        <f t="shared" si="7"/>
        <v>10770</v>
      </c>
      <c r="K32" s="4">
        <v>8574</v>
      </c>
      <c r="L32" s="4">
        <f t="shared" si="8"/>
        <v>1221192</v>
      </c>
      <c r="M32" s="4">
        <f t="shared" si="4"/>
        <v>976953.60000000009</v>
      </c>
      <c r="N32" s="5">
        <f t="shared" si="9"/>
        <v>244238.39999999991</v>
      </c>
    </row>
    <row r="33" spans="1:14" x14ac:dyDescent="0.35">
      <c r="A33" t="s">
        <v>69</v>
      </c>
      <c r="B33" s="7">
        <v>45505</v>
      </c>
      <c r="C33" s="2" t="s">
        <v>18</v>
      </c>
      <c r="D33" s="2" t="s">
        <v>36</v>
      </c>
      <c r="E33" s="2" t="s">
        <v>37</v>
      </c>
      <c r="F33" t="s">
        <v>21</v>
      </c>
      <c r="G33" s="2">
        <v>3</v>
      </c>
      <c r="H33" s="3">
        <f t="shared" si="0"/>
        <v>359000</v>
      </c>
      <c r="I33" s="4">
        <f t="shared" si="6"/>
        <v>28720</v>
      </c>
      <c r="J33" s="4">
        <f t="shared" si="7"/>
        <v>10770</v>
      </c>
      <c r="K33" s="4">
        <v>24582</v>
      </c>
      <c r="L33" s="4">
        <f t="shared" si="8"/>
        <v>1269216</v>
      </c>
      <c r="M33" s="4">
        <f t="shared" si="4"/>
        <v>1015372.8</v>
      </c>
      <c r="N33" s="5">
        <f t="shared" si="9"/>
        <v>253843.19999999995</v>
      </c>
    </row>
    <row r="34" spans="1:14" x14ac:dyDescent="0.35">
      <c r="A34" t="s">
        <v>70</v>
      </c>
      <c r="B34" s="7">
        <v>45455</v>
      </c>
      <c r="C34" s="2" t="s">
        <v>14</v>
      </c>
      <c r="D34" s="2" t="s">
        <v>22</v>
      </c>
      <c r="E34" s="2" t="s">
        <v>23</v>
      </c>
      <c r="F34" t="s">
        <v>19</v>
      </c>
      <c r="G34" s="2">
        <v>1</v>
      </c>
      <c r="H34" s="3">
        <f t="shared" si="0"/>
        <v>319000</v>
      </c>
      <c r="I34" s="4">
        <f t="shared" si="6"/>
        <v>25520</v>
      </c>
      <c r="J34" s="4">
        <f t="shared" si="7"/>
        <v>9570</v>
      </c>
      <c r="K34" s="4">
        <v>18392</v>
      </c>
      <c r="L34" s="4">
        <f t="shared" si="8"/>
        <v>372482</v>
      </c>
      <c r="M34" s="4">
        <f t="shared" si="4"/>
        <v>297985.60000000003</v>
      </c>
      <c r="N34" s="5">
        <f t="shared" si="9"/>
        <v>74496.399999999965</v>
      </c>
    </row>
    <row r="35" spans="1:14" x14ac:dyDescent="0.35">
      <c r="A35" t="s">
        <v>71</v>
      </c>
      <c r="B35" s="7">
        <v>45645</v>
      </c>
      <c r="C35" s="2" t="s">
        <v>14</v>
      </c>
      <c r="D35" s="2" t="s">
        <v>24</v>
      </c>
      <c r="E35" s="2" t="s">
        <v>25</v>
      </c>
      <c r="F35" t="s">
        <v>20</v>
      </c>
      <c r="G35" s="2">
        <v>2</v>
      </c>
      <c r="H35" s="3">
        <f t="shared" si="0"/>
        <v>345000</v>
      </c>
      <c r="I35" s="4">
        <f t="shared" si="6"/>
        <v>27600</v>
      </c>
      <c r="J35" s="4">
        <f t="shared" si="7"/>
        <v>10350</v>
      </c>
      <c r="K35" s="4">
        <v>18765</v>
      </c>
      <c r="L35" s="4">
        <f t="shared" si="8"/>
        <v>803430</v>
      </c>
      <c r="M35" s="4">
        <f t="shared" si="4"/>
        <v>642744</v>
      </c>
      <c r="N35" s="5">
        <f t="shared" si="9"/>
        <v>160686</v>
      </c>
    </row>
    <row r="36" spans="1:14" x14ac:dyDescent="0.35">
      <c r="A36" t="s">
        <v>72</v>
      </c>
      <c r="B36" s="7">
        <v>45590</v>
      </c>
      <c r="C36" s="2" t="s">
        <v>15</v>
      </c>
      <c r="D36" s="2" t="s">
        <v>26</v>
      </c>
      <c r="E36" s="2" t="s">
        <v>27</v>
      </c>
      <c r="F36" t="s">
        <v>21</v>
      </c>
      <c r="G36" s="2">
        <v>4</v>
      </c>
      <c r="H36" s="3">
        <f t="shared" si="0"/>
        <v>359000</v>
      </c>
      <c r="I36" s="4">
        <f t="shared" si="6"/>
        <v>28720</v>
      </c>
      <c r="J36" s="4">
        <f t="shared" si="7"/>
        <v>10770</v>
      </c>
      <c r="K36" s="4">
        <v>14199</v>
      </c>
      <c r="L36" s="4">
        <f t="shared" si="8"/>
        <v>1650756</v>
      </c>
      <c r="M36" s="4">
        <f t="shared" si="4"/>
        <v>1320604.8</v>
      </c>
      <c r="N36" s="5">
        <f t="shared" si="9"/>
        <v>330151.19999999995</v>
      </c>
    </row>
    <row r="37" spans="1:14" x14ac:dyDescent="0.35">
      <c r="A37" t="s">
        <v>73</v>
      </c>
      <c r="B37" s="7">
        <v>45354</v>
      </c>
      <c r="C37" s="2" t="s">
        <v>15</v>
      </c>
      <c r="D37" s="2" t="s">
        <v>28</v>
      </c>
      <c r="E37" s="2" t="s">
        <v>29</v>
      </c>
      <c r="F37" t="s">
        <v>20</v>
      </c>
      <c r="G37" s="2">
        <v>1</v>
      </c>
      <c r="H37" s="3">
        <f t="shared" si="0"/>
        <v>345000</v>
      </c>
      <c r="I37" s="4">
        <f t="shared" si="6"/>
        <v>27600</v>
      </c>
      <c r="J37" s="4">
        <f t="shared" si="7"/>
        <v>10350</v>
      </c>
      <c r="K37" s="4">
        <v>6489</v>
      </c>
      <c r="L37" s="4">
        <f t="shared" si="8"/>
        <v>389439</v>
      </c>
      <c r="M37" s="4">
        <f t="shared" si="4"/>
        <v>311551.2</v>
      </c>
      <c r="N37" s="5">
        <f t="shared" si="9"/>
        <v>77887.799999999988</v>
      </c>
    </row>
    <row r="38" spans="1:14" x14ac:dyDescent="0.35">
      <c r="A38" t="s">
        <v>74</v>
      </c>
      <c r="B38" s="7">
        <v>45448</v>
      </c>
      <c r="C38" s="2" t="s">
        <v>16</v>
      </c>
      <c r="D38" s="2" t="s">
        <v>30</v>
      </c>
      <c r="E38" s="2" t="s">
        <v>31</v>
      </c>
      <c r="F38" t="s">
        <v>21</v>
      </c>
      <c r="G38" s="2">
        <v>1</v>
      </c>
      <c r="H38" s="3">
        <f t="shared" si="0"/>
        <v>359000</v>
      </c>
      <c r="I38" s="4">
        <f t="shared" si="6"/>
        <v>28720</v>
      </c>
      <c r="J38" s="4">
        <f t="shared" si="7"/>
        <v>10770</v>
      </c>
      <c r="K38" s="4">
        <v>18806</v>
      </c>
      <c r="L38" s="4">
        <f t="shared" si="8"/>
        <v>417296</v>
      </c>
      <c r="M38" s="4">
        <f t="shared" si="4"/>
        <v>333836.80000000005</v>
      </c>
      <c r="N38" s="5">
        <f t="shared" si="9"/>
        <v>83459.199999999953</v>
      </c>
    </row>
    <row r="39" spans="1:14" x14ac:dyDescent="0.35">
      <c r="A39" t="s">
        <v>75</v>
      </c>
      <c r="B39" s="7">
        <v>45394</v>
      </c>
      <c r="C39" s="2" t="s">
        <v>16</v>
      </c>
      <c r="D39" s="2" t="s">
        <v>32</v>
      </c>
      <c r="E39" s="2" t="s">
        <v>33</v>
      </c>
      <c r="F39" t="s">
        <v>19</v>
      </c>
      <c r="G39" s="2">
        <v>5</v>
      </c>
      <c r="H39" s="3">
        <f t="shared" si="0"/>
        <v>319000</v>
      </c>
      <c r="I39" s="4">
        <f t="shared" si="6"/>
        <v>25520</v>
      </c>
      <c r="J39" s="4">
        <f t="shared" si="7"/>
        <v>9570</v>
      </c>
      <c r="K39" s="4">
        <v>18865</v>
      </c>
      <c r="L39" s="4">
        <f t="shared" si="8"/>
        <v>1864775</v>
      </c>
      <c r="M39" s="4">
        <f t="shared" si="4"/>
        <v>1491820</v>
      </c>
      <c r="N39" s="5">
        <f t="shared" si="9"/>
        <v>372955</v>
      </c>
    </row>
    <row r="40" spans="1:14" x14ac:dyDescent="0.35">
      <c r="A40" t="s">
        <v>76</v>
      </c>
      <c r="B40" s="7">
        <v>45324</v>
      </c>
      <c r="C40" s="2" t="s">
        <v>17</v>
      </c>
      <c r="D40" s="2" t="s">
        <v>34</v>
      </c>
      <c r="E40" s="2" t="s">
        <v>35</v>
      </c>
      <c r="F40" t="s">
        <v>21</v>
      </c>
      <c r="G40" s="2">
        <v>2</v>
      </c>
      <c r="H40" s="3">
        <f t="shared" si="0"/>
        <v>359000</v>
      </c>
      <c r="I40" s="4">
        <f t="shared" si="6"/>
        <v>28720</v>
      </c>
      <c r="J40" s="4">
        <f t="shared" si="7"/>
        <v>10770</v>
      </c>
      <c r="K40" s="4">
        <v>9415</v>
      </c>
      <c r="L40" s="4">
        <f t="shared" si="8"/>
        <v>815810</v>
      </c>
      <c r="M40" s="4">
        <f t="shared" si="4"/>
        <v>652648</v>
      </c>
      <c r="N40" s="5">
        <f t="shared" si="9"/>
        <v>163162</v>
      </c>
    </row>
    <row r="41" spans="1:14" x14ac:dyDescent="0.35">
      <c r="A41" t="s">
        <v>77</v>
      </c>
      <c r="B41" s="7">
        <v>45574</v>
      </c>
      <c r="C41" s="2" t="s">
        <v>18</v>
      </c>
      <c r="D41" s="2" t="s">
        <v>36</v>
      </c>
      <c r="E41" s="2" t="s">
        <v>37</v>
      </c>
      <c r="F41" t="s">
        <v>21</v>
      </c>
      <c r="G41" s="2">
        <v>5</v>
      </c>
      <c r="H41" s="3">
        <f t="shared" si="0"/>
        <v>359000</v>
      </c>
      <c r="I41" s="4">
        <f t="shared" si="6"/>
        <v>28720</v>
      </c>
      <c r="J41" s="4">
        <f t="shared" si="7"/>
        <v>10770</v>
      </c>
      <c r="K41" s="4">
        <v>12465</v>
      </c>
      <c r="L41" s="4">
        <f t="shared" si="8"/>
        <v>2054775</v>
      </c>
      <c r="M41" s="4">
        <f t="shared" si="4"/>
        <v>1643820</v>
      </c>
      <c r="N41" s="5">
        <f t="shared" si="9"/>
        <v>410955</v>
      </c>
    </row>
    <row r="42" spans="1:14" x14ac:dyDescent="0.35">
      <c r="A42" t="s">
        <v>78</v>
      </c>
      <c r="B42" s="7">
        <v>45306</v>
      </c>
      <c r="C42" s="2" t="s">
        <v>14</v>
      </c>
      <c r="D42" s="2" t="s">
        <v>22</v>
      </c>
      <c r="E42" s="2" t="s">
        <v>23</v>
      </c>
      <c r="F42" t="s">
        <v>19</v>
      </c>
      <c r="G42" s="2">
        <v>1</v>
      </c>
      <c r="H42" s="3">
        <f t="shared" si="0"/>
        <v>319000</v>
      </c>
      <c r="I42" s="4">
        <f t="shared" si="6"/>
        <v>25520</v>
      </c>
      <c r="J42" s="4">
        <f t="shared" si="7"/>
        <v>9570</v>
      </c>
      <c r="K42" s="4">
        <v>20586</v>
      </c>
      <c r="L42" s="4">
        <f t="shared" si="8"/>
        <v>374676</v>
      </c>
      <c r="M42" s="4">
        <f t="shared" si="4"/>
        <v>299740.79999999999</v>
      </c>
      <c r="N42" s="5">
        <f t="shared" si="9"/>
        <v>74935.200000000012</v>
      </c>
    </row>
    <row r="43" spans="1:14" x14ac:dyDescent="0.35">
      <c r="A43" t="s">
        <v>79</v>
      </c>
      <c r="B43" s="7">
        <v>45582</v>
      </c>
      <c r="C43" s="2" t="s">
        <v>14</v>
      </c>
      <c r="D43" s="2" t="s">
        <v>24</v>
      </c>
      <c r="E43" s="2" t="s">
        <v>25</v>
      </c>
      <c r="F43" t="s">
        <v>20</v>
      </c>
      <c r="G43" s="2">
        <v>1</v>
      </c>
      <c r="H43" s="3">
        <f t="shared" si="0"/>
        <v>345000</v>
      </c>
      <c r="I43" s="4">
        <f t="shared" si="6"/>
        <v>27600</v>
      </c>
      <c r="J43" s="4">
        <f t="shared" si="7"/>
        <v>10350</v>
      </c>
      <c r="K43" s="4">
        <v>18966</v>
      </c>
      <c r="L43" s="4">
        <f t="shared" si="8"/>
        <v>401916</v>
      </c>
      <c r="M43" s="4">
        <f t="shared" si="4"/>
        <v>321532.80000000005</v>
      </c>
      <c r="N43" s="5">
        <f t="shared" si="9"/>
        <v>80383.199999999953</v>
      </c>
    </row>
    <row r="44" spans="1:14" x14ac:dyDescent="0.35">
      <c r="A44" t="s">
        <v>80</v>
      </c>
      <c r="B44" s="7">
        <v>45356</v>
      </c>
      <c r="C44" s="2" t="s">
        <v>15</v>
      </c>
      <c r="D44" s="2" t="s">
        <v>26</v>
      </c>
      <c r="E44" s="2" t="s">
        <v>27</v>
      </c>
      <c r="F44" t="s">
        <v>21</v>
      </c>
      <c r="G44" s="2">
        <v>3</v>
      </c>
      <c r="H44" s="3">
        <f t="shared" si="0"/>
        <v>359000</v>
      </c>
      <c r="I44" s="4">
        <f t="shared" si="6"/>
        <v>28720</v>
      </c>
      <c r="J44" s="4">
        <f t="shared" si="7"/>
        <v>10770</v>
      </c>
      <c r="K44" s="4">
        <v>22224</v>
      </c>
      <c r="L44" s="4">
        <f t="shared" si="8"/>
        <v>1262142</v>
      </c>
      <c r="M44" s="4">
        <f t="shared" si="4"/>
        <v>1009713.6000000001</v>
      </c>
      <c r="N44" s="5">
        <f t="shared" si="9"/>
        <v>252428.39999999991</v>
      </c>
    </row>
    <row r="45" spans="1:14" x14ac:dyDescent="0.35">
      <c r="A45" t="s">
        <v>81</v>
      </c>
      <c r="B45" s="7">
        <v>45387</v>
      </c>
      <c r="C45" s="2" t="s">
        <v>15</v>
      </c>
      <c r="D45" s="2" t="s">
        <v>28</v>
      </c>
      <c r="E45" s="2" t="s">
        <v>29</v>
      </c>
      <c r="F45" t="s">
        <v>20</v>
      </c>
      <c r="G45" s="2">
        <v>1</v>
      </c>
      <c r="H45" s="3">
        <f t="shared" si="0"/>
        <v>345000</v>
      </c>
      <c r="I45" s="4">
        <f t="shared" si="6"/>
        <v>27600</v>
      </c>
      <c r="J45" s="4">
        <f t="shared" si="7"/>
        <v>10350</v>
      </c>
      <c r="K45" s="4">
        <v>20921</v>
      </c>
      <c r="L45" s="4">
        <f t="shared" si="8"/>
        <v>403871</v>
      </c>
      <c r="M45" s="4">
        <f t="shared" si="4"/>
        <v>323096.80000000005</v>
      </c>
      <c r="N45" s="5">
        <f t="shared" si="9"/>
        <v>80774.199999999953</v>
      </c>
    </row>
    <row r="46" spans="1:14" x14ac:dyDescent="0.35">
      <c r="A46" t="s">
        <v>82</v>
      </c>
      <c r="B46" s="7">
        <v>45619</v>
      </c>
      <c r="C46" s="2" t="s">
        <v>16</v>
      </c>
      <c r="D46" s="2" t="s">
        <v>30</v>
      </c>
      <c r="E46" s="2" t="s">
        <v>31</v>
      </c>
      <c r="F46" t="s">
        <v>21</v>
      </c>
      <c r="G46" s="2">
        <v>1</v>
      </c>
      <c r="H46" s="3">
        <f t="shared" si="0"/>
        <v>359000</v>
      </c>
      <c r="I46" s="4">
        <f t="shared" si="6"/>
        <v>28720</v>
      </c>
      <c r="J46" s="4">
        <f t="shared" si="7"/>
        <v>10770</v>
      </c>
      <c r="K46" s="4">
        <v>8353</v>
      </c>
      <c r="L46" s="4">
        <f t="shared" si="8"/>
        <v>406843</v>
      </c>
      <c r="M46" s="4">
        <f t="shared" si="4"/>
        <v>325474.40000000002</v>
      </c>
      <c r="N46" s="5">
        <f t="shared" si="9"/>
        <v>81368.599999999977</v>
      </c>
    </row>
    <row r="47" spans="1:14" x14ac:dyDescent="0.35">
      <c r="A47" t="s">
        <v>83</v>
      </c>
      <c r="B47" s="7">
        <v>45642</v>
      </c>
      <c r="C47" s="2" t="s">
        <v>16</v>
      </c>
      <c r="D47" s="2" t="s">
        <v>32</v>
      </c>
      <c r="E47" s="2" t="s">
        <v>33</v>
      </c>
      <c r="F47" t="s">
        <v>19</v>
      </c>
      <c r="G47" s="2">
        <v>5</v>
      </c>
      <c r="H47" s="3">
        <f t="shared" si="0"/>
        <v>319000</v>
      </c>
      <c r="I47" s="4">
        <f t="shared" si="6"/>
        <v>25520</v>
      </c>
      <c r="J47" s="4">
        <f t="shared" si="7"/>
        <v>9570</v>
      </c>
      <c r="K47" s="4">
        <v>24756</v>
      </c>
      <c r="L47" s="4">
        <f t="shared" si="8"/>
        <v>1894230</v>
      </c>
      <c r="M47" s="4">
        <f t="shared" si="4"/>
        <v>1515384</v>
      </c>
      <c r="N47" s="5">
        <f t="shared" si="9"/>
        <v>378846</v>
      </c>
    </row>
    <row r="48" spans="1:14" x14ac:dyDescent="0.35">
      <c r="A48" t="s">
        <v>84</v>
      </c>
      <c r="B48" s="7">
        <v>45537</v>
      </c>
      <c r="C48" s="2" t="s">
        <v>17</v>
      </c>
      <c r="D48" s="2" t="s">
        <v>34</v>
      </c>
      <c r="E48" s="2" t="s">
        <v>35</v>
      </c>
      <c r="F48" t="s">
        <v>21</v>
      </c>
      <c r="G48" s="2">
        <v>1</v>
      </c>
      <c r="H48" s="3">
        <f t="shared" si="0"/>
        <v>359000</v>
      </c>
      <c r="I48" s="4">
        <f t="shared" si="6"/>
        <v>28720</v>
      </c>
      <c r="J48" s="4">
        <f t="shared" si="7"/>
        <v>10770</v>
      </c>
      <c r="K48" s="4">
        <v>17888</v>
      </c>
      <c r="L48" s="4">
        <f t="shared" si="8"/>
        <v>416378</v>
      </c>
      <c r="M48" s="4">
        <f t="shared" si="4"/>
        <v>333102.40000000002</v>
      </c>
      <c r="N48" s="5">
        <f t="shared" si="9"/>
        <v>83275.599999999977</v>
      </c>
    </row>
    <row r="49" spans="1:14" x14ac:dyDescent="0.35">
      <c r="A49" t="s">
        <v>85</v>
      </c>
      <c r="B49" s="7">
        <v>45646</v>
      </c>
      <c r="C49" s="2" t="s">
        <v>18</v>
      </c>
      <c r="D49" s="2" t="s">
        <v>36</v>
      </c>
      <c r="E49" s="2" t="s">
        <v>37</v>
      </c>
      <c r="F49" t="s">
        <v>21</v>
      </c>
      <c r="G49" s="2">
        <v>2</v>
      </c>
      <c r="H49" s="3">
        <f t="shared" si="0"/>
        <v>359000</v>
      </c>
      <c r="I49" s="4">
        <f t="shared" si="6"/>
        <v>28720</v>
      </c>
      <c r="J49" s="4">
        <f t="shared" si="7"/>
        <v>10770</v>
      </c>
      <c r="K49" s="4">
        <v>17628</v>
      </c>
      <c r="L49" s="4">
        <f t="shared" si="8"/>
        <v>832236</v>
      </c>
      <c r="M49" s="4">
        <f t="shared" si="4"/>
        <v>665788.80000000005</v>
      </c>
      <c r="N49" s="5">
        <f t="shared" si="9"/>
        <v>166447.19999999995</v>
      </c>
    </row>
    <row r="50" spans="1:14" x14ac:dyDescent="0.35">
      <c r="A50" t="s">
        <v>86</v>
      </c>
      <c r="B50" s="7">
        <v>45605</v>
      </c>
      <c r="C50" s="2" t="s">
        <v>14</v>
      </c>
      <c r="D50" s="2" t="s">
        <v>22</v>
      </c>
      <c r="E50" s="2" t="s">
        <v>23</v>
      </c>
      <c r="F50" t="s">
        <v>19</v>
      </c>
      <c r="G50" s="2">
        <v>2</v>
      </c>
      <c r="H50" s="3">
        <f t="shared" si="0"/>
        <v>319000</v>
      </c>
      <c r="I50" s="4">
        <f t="shared" si="6"/>
        <v>25520</v>
      </c>
      <c r="J50" s="4">
        <f t="shared" si="7"/>
        <v>9570</v>
      </c>
      <c r="K50" s="4">
        <v>14524</v>
      </c>
      <c r="L50" s="4">
        <f t="shared" si="8"/>
        <v>737228</v>
      </c>
      <c r="M50" s="4">
        <f t="shared" si="4"/>
        <v>589782.4</v>
      </c>
      <c r="N50" s="5">
        <f t="shared" si="9"/>
        <v>147445.59999999998</v>
      </c>
    </row>
    <row r="51" spans="1:14" x14ac:dyDescent="0.35">
      <c r="A51" t="s">
        <v>87</v>
      </c>
      <c r="B51" s="7">
        <v>45481</v>
      </c>
      <c r="C51" s="2" t="s">
        <v>14</v>
      </c>
      <c r="D51" s="2" t="s">
        <v>24</v>
      </c>
      <c r="E51" s="2" t="s">
        <v>25</v>
      </c>
      <c r="F51" t="s">
        <v>20</v>
      </c>
      <c r="G51" s="2">
        <v>2</v>
      </c>
      <c r="H51" s="3">
        <f t="shared" si="0"/>
        <v>345000</v>
      </c>
      <c r="I51" s="4">
        <f t="shared" si="6"/>
        <v>27600</v>
      </c>
      <c r="J51" s="4">
        <f t="shared" si="7"/>
        <v>10350</v>
      </c>
      <c r="K51" s="4">
        <v>20726</v>
      </c>
      <c r="L51" s="4">
        <f t="shared" si="8"/>
        <v>807352</v>
      </c>
      <c r="M51" s="4">
        <f t="shared" si="4"/>
        <v>645881.60000000009</v>
      </c>
      <c r="N51" s="5">
        <f t="shared" si="9"/>
        <v>161470.39999999991</v>
      </c>
    </row>
    <row r="52" spans="1:14" x14ac:dyDescent="0.35">
      <c r="A52" t="s">
        <v>88</v>
      </c>
      <c r="B52" s="7">
        <v>45530</v>
      </c>
      <c r="C52" s="2" t="s">
        <v>15</v>
      </c>
      <c r="D52" s="2" t="s">
        <v>26</v>
      </c>
      <c r="E52" s="2" t="s">
        <v>27</v>
      </c>
      <c r="F52" t="s">
        <v>21</v>
      </c>
      <c r="G52" s="2">
        <v>4</v>
      </c>
      <c r="H52" s="3">
        <f t="shared" si="0"/>
        <v>359000</v>
      </c>
      <c r="I52" s="4">
        <f t="shared" si="6"/>
        <v>28720</v>
      </c>
      <c r="J52" s="4">
        <f t="shared" si="7"/>
        <v>10770</v>
      </c>
      <c r="K52" s="4">
        <v>20760</v>
      </c>
      <c r="L52" s="4">
        <f t="shared" si="8"/>
        <v>1677000</v>
      </c>
      <c r="M52" s="4">
        <f t="shared" si="4"/>
        <v>1341600</v>
      </c>
      <c r="N52" s="5">
        <f t="shared" si="9"/>
        <v>335400</v>
      </c>
    </row>
    <row r="53" spans="1:14" x14ac:dyDescent="0.35">
      <c r="A53" t="s">
        <v>89</v>
      </c>
      <c r="B53" s="7">
        <v>45314</v>
      </c>
      <c r="C53" s="2" t="s">
        <v>15</v>
      </c>
      <c r="D53" s="2" t="s">
        <v>28</v>
      </c>
      <c r="E53" s="2" t="s">
        <v>29</v>
      </c>
      <c r="F53" t="s">
        <v>20</v>
      </c>
      <c r="G53" s="2">
        <v>2</v>
      </c>
      <c r="H53" s="3">
        <f t="shared" si="0"/>
        <v>345000</v>
      </c>
      <c r="I53" s="4">
        <f t="shared" si="6"/>
        <v>27600</v>
      </c>
      <c r="J53" s="4">
        <f t="shared" si="7"/>
        <v>10350</v>
      </c>
      <c r="K53" s="4">
        <v>15410</v>
      </c>
      <c r="L53" s="4">
        <f t="shared" si="8"/>
        <v>796720</v>
      </c>
      <c r="M53" s="4">
        <f t="shared" si="4"/>
        <v>637376</v>
      </c>
      <c r="N53" s="5">
        <f t="shared" si="9"/>
        <v>159344</v>
      </c>
    </row>
    <row r="54" spans="1:14" x14ac:dyDescent="0.35">
      <c r="A54" t="s">
        <v>90</v>
      </c>
      <c r="B54" s="7">
        <v>45308</v>
      </c>
      <c r="C54" s="2" t="s">
        <v>16</v>
      </c>
      <c r="D54" s="2" t="s">
        <v>30</v>
      </c>
      <c r="E54" s="2" t="s">
        <v>31</v>
      </c>
      <c r="F54" t="s">
        <v>21</v>
      </c>
      <c r="G54" s="2">
        <v>2</v>
      </c>
      <c r="H54" s="3">
        <f t="shared" si="0"/>
        <v>359000</v>
      </c>
      <c r="I54" s="4">
        <f t="shared" si="6"/>
        <v>28720</v>
      </c>
      <c r="J54" s="4">
        <f t="shared" si="7"/>
        <v>10770</v>
      </c>
      <c r="K54" s="4">
        <v>15377</v>
      </c>
      <c r="L54" s="4">
        <f t="shared" si="8"/>
        <v>827734</v>
      </c>
      <c r="M54" s="4">
        <f t="shared" si="4"/>
        <v>662187.20000000007</v>
      </c>
      <c r="N54" s="5">
        <f t="shared" si="9"/>
        <v>165546.79999999993</v>
      </c>
    </row>
    <row r="55" spans="1:14" x14ac:dyDescent="0.35">
      <c r="A55" t="s">
        <v>91</v>
      </c>
      <c r="B55" s="7">
        <v>45537</v>
      </c>
      <c r="C55" s="2" t="s">
        <v>16</v>
      </c>
      <c r="D55" s="2" t="s">
        <v>32</v>
      </c>
      <c r="E55" s="2" t="s">
        <v>33</v>
      </c>
      <c r="F55" t="s">
        <v>19</v>
      </c>
      <c r="G55" s="2">
        <v>4</v>
      </c>
      <c r="H55" s="3">
        <f t="shared" si="0"/>
        <v>319000</v>
      </c>
      <c r="I55" s="4">
        <f t="shared" si="6"/>
        <v>25520</v>
      </c>
      <c r="J55" s="4">
        <f t="shared" si="7"/>
        <v>9570</v>
      </c>
      <c r="K55" s="4">
        <v>16881</v>
      </c>
      <c r="L55" s="4">
        <f t="shared" si="8"/>
        <v>1483884</v>
      </c>
      <c r="M55" s="4">
        <f t="shared" si="4"/>
        <v>1187107.2</v>
      </c>
      <c r="N55" s="5">
        <f t="shared" si="9"/>
        <v>296776.80000000005</v>
      </c>
    </row>
    <row r="56" spans="1:14" x14ac:dyDescent="0.35">
      <c r="A56" t="s">
        <v>92</v>
      </c>
      <c r="B56" s="7">
        <v>45648</v>
      </c>
      <c r="C56" s="2" t="s">
        <v>17</v>
      </c>
      <c r="D56" s="2" t="s">
        <v>34</v>
      </c>
      <c r="E56" s="2" t="s">
        <v>35</v>
      </c>
      <c r="F56" t="s">
        <v>21</v>
      </c>
      <c r="G56" s="2">
        <v>2</v>
      </c>
      <c r="H56" s="3">
        <f t="shared" si="0"/>
        <v>359000</v>
      </c>
      <c r="I56" s="4">
        <f t="shared" si="6"/>
        <v>28720</v>
      </c>
      <c r="J56" s="4">
        <f t="shared" si="7"/>
        <v>10770</v>
      </c>
      <c r="K56" s="4">
        <v>23228</v>
      </c>
      <c r="L56" s="4">
        <f t="shared" si="8"/>
        <v>843436</v>
      </c>
      <c r="M56" s="4">
        <f t="shared" si="4"/>
        <v>674748.8</v>
      </c>
      <c r="N56" s="5">
        <f t="shared" si="9"/>
        <v>168687.19999999995</v>
      </c>
    </row>
    <row r="57" spans="1:14" x14ac:dyDescent="0.35">
      <c r="A57" t="s">
        <v>93</v>
      </c>
      <c r="B57" s="7">
        <v>45454</v>
      </c>
      <c r="C57" s="2" t="s">
        <v>18</v>
      </c>
      <c r="D57" s="2" t="s">
        <v>36</v>
      </c>
      <c r="E57" s="2" t="s">
        <v>37</v>
      </c>
      <c r="F57" t="s">
        <v>21</v>
      </c>
      <c r="G57" s="2">
        <v>5</v>
      </c>
      <c r="H57" s="3">
        <f t="shared" si="0"/>
        <v>359000</v>
      </c>
      <c r="I57" s="4">
        <f t="shared" si="6"/>
        <v>28720</v>
      </c>
      <c r="J57" s="4">
        <f t="shared" si="7"/>
        <v>10770</v>
      </c>
      <c r="K57" s="4">
        <v>13092</v>
      </c>
      <c r="L57" s="4">
        <f t="shared" si="8"/>
        <v>2057910</v>
      </c>
      <c r="M57" s="4">
        <f t="shared" si="4"/>
        <v>1646328</v>
      </c>
      <c r="N57" s="5">
        <f t="shared" si="9"/>
        <v>411582</v>
      </c>
    </row>
    <row r="58" spans="1:14" x14ac:dyDescent="0.35">
      <c r="A58" t="s">
        <v>94</v>
      </c>
      <c r="B58" s="7">
        <v>45309</v>
      </c>
      <c r="C58" s="2" t="s">
        <v>14</v>
      </c>
      <c r="D58" s="2" t="s">
        <v>22</v>
      </c>
      <c r="E58" s="2" t="s">
        <v>23</v>
      </c>
      <c r="F58" t="s">
        <v>19</v>
      </c>
      <c r="G58" s="2">
        <v>1</v>
      </c>
      <c r="H58" s="3">
        <f t="shared" si="0"/>
        <v>319000</v>
      </c>
      <c r="I58" s="4">
        <f t="shared" si="6"/>
        <v>25520</v>
      </c>
      <c r="J58" s="4">
        <f t="shared" si="7"/>
        <v>9570</v>
      </c>
      <c r="K58" s="4">
        <v>23681</v>
      </c>
      <c r="L58" s="4">
        <f t="shared" si="8"/>
        <v>377771</v>
      </c>
      <c r="M58" s="4">
        <f t="shared" si="4"/>
        <v>302216.8</v>
      </c>
      <c r="N58" s="5">
        <f t="shared" si="9"/>
        <v>75554.200000000012</v>
      </c>
    </row>
    <row r="59" spans="1:14" x14ac:dyDescent="0.35">
      <c r="A59" t="s">
        <v>95</v>
      </c>
      <c r="B59" s="7">
        <v>45497</v>
      </c>
      <c r="C59" s="2" t="s">
        <v>14</v>
      </c>
      <c r="D59" s="2" t="s">
        <v>24</v>
      </c>
      <c r="E59" s="2" t="s">
        <v>25</v>
      </c>
      <c r="F59" t="s">
        <v>20</v>
      </c>
      <c r="G59" s="2">
        <v>3</v>
      </c>
      <c r="H59" s="3">
        <f t="shared" si="0"/>
        <v>345000</v>
      </c>
      <c r="I59" s="4">
        <f t="shared" si="6"/>
        <v>27600</v>
      </c>
      <c r="J59" s="4">
        <f t="shared" si="7"/>
        <v>10350</v>
      </c>
      <c r="K59" s="4">
        <v>22624</v>
      </c>
      <c r="L59" s="4">
        <f t="shared" si="8"/>
        <v>1216722</v>
      </c>
      <c r="M59" s="4">
        <f t="shared" si="4"/>
        <v>973377.60000000009</v>
      </c>
      <c r="N59" s="5">
        <f t="shared" si="9"/>
        <v>243344.39999999991</v>
      </c>
    </row>
    <row r="60" spans="1:14" x14ac:dyDescent="0.35">
      <c r="A60" t="s">
        <v>96</v>
      </c>
      <c r="B60" s="7">
        <v>45367</v>
      </c>
      <c r="C60" s="2" t="s">
        <v>15</v>
      </c>
      <c r="D60" s="2" t="s">
        <v>26</v>
      </c>
      <c r="E60" s="2" t="s">
        <v>27</v>
      </c>
      <c r="F60" t="s">
        <v>21</v>
      </c>
      <c r="G60" s="2">
        <v>4</v>
      </c>
      <c r="H60" s="3">
        <f t="shared" si="0"/>
        <v>359000</v>
      </c>
      <c r="I60" s="4">
        <f t="shared" si="6"/>
        <v>28720</v>
      </c>
      <c r="J60" s="4">
        <f t="shared" si="7"/>
        <v>10770</v>
      </c>
      <c r="K60" s="4">
        <v>15277</v>
      </c>
      <c r="L60" s="4">
        <f t="shared" si="8"/>
        <v>1655068</v>
      </c>
      <c r="M60" s="4">
        <f t="shared" si="4"/>
        <v>1324054.4000000001</v>
      </c>
      <c r="N60" s="5">
        <f t="shared" si="9"/>
        <v>331013.59999999986</v>
      </c>
    </row>
    <row r="61" spans="1:14" x14ac:dyDescent="0.35">
      <c r="A61" t="s">
        <v>97</v>
      </c>
      <c r="B61" s="7">
        <v>45305</v>
      </c>
      <c r="C61" s="2" t="s">
        <v>15</v>
      </c>
      <c r="D61" s="2" t="s">
        <v>28</v>
      </c>
      <c r="E61" s="2" t="s">
        <v>29</v>
      </c>
      <c r="F61" t="s">
        <v>20</v>
      </c>
      <c r="G61" s="2">
        <v>3</v>
      </c>
      <c r="H61" s="3">
        <f t="shared" si="0"/>
        <v>345000</v>
      </c>
      <c r="I61" s="4">
        <f t="shared" si="6"/>
        <v>27600</v>
      </c>
      <c r="J61" s="4">
        <f t="shared" si="7"/>
        <v>10350</v>
      </c>
      <c r="K61" s="4">
        <v>22498</v>
      </c>
      <c r="L61" s="4">
        <f t="shared" si="8"/>
        <v>1216344</v>
      </c>
      <c r="M61" s="4">
        <f t="shared" si="4"/>
        <v>973075.20000000007</v>
      </c>
      <c r="N61" s="5">
        <f t="shared" si="9"/>
        <v>243268.79999999993</v>
      </c>
    </row>
    <row r="62" spans="1:14" x14ac:dyDescent="0.35">
      <c r="A62" t="s">
        <v>98</v>
      </c>
      <c r="B62" s="7">
        <v>45540</v>
      </c>
      <c r="C62" s="2" t="s">
        <v>16</v>
      </c>
      <c r="D62" s="2" t="s">
        <v>30</v>
      </c>
      <c r="E62" s="2" t="s">
        <v>31</v>
      </c>
      <c r="F62" t="s">
        <v>21</v>
      </c>
      <c r="G62" s="2">
        <v>5</v>
      </c>
      <c r="H62" s="3">
        <f t="shared" si="0"/>
        <v>359000</v>
      </c>
      <c r="I62" s="4">
        <f t="shared" si="6"/>
        <v>28720</v>
      </c>
      <c r="J62" s="4">
        <f t="shared" si="7"/>
        <v>10770</v>
      </c>
      <c r="K62" s="4">
        <v>9807</v>
      </c>
      <c r="L62" s="4">
        <f t="shared" si="8"/>
        <v>2041485</v>
      </c>
      <c r="M62" s="4">
        <f t="shared" si="4"/>
        <v>1633188</v>
      </c>
      <c r="N62" s="5">
        <f t="shared" si="9"/>
        <v>408297</v>
      </c>
    </row>
    <row r="63" spans="1:14" x14ac:dyDescent="0.35">
      <c r="A63" t="s">
        <v>99</v>
      </c>
      <c r="B63" s="7">
        <v>45468</v>
      </c>
      <c r="C63" s="2" t="s">
        <v>16</v>
      </c>
      <c r="D63" s="2" t="s">
        <v>32</v>
      </c>
      <c r="E63" s="2" t="s">
        <v>33</v>
      </c>
      <c r="F63" t="s">
        <v>19</v>
      </c>
      <c r="G63" s="2">
        <v>4</v>
      </c>
      <c r="H63" s="3">
        <f t="shared" si="0"/>
        <v>319000</v>
      </c>
      <c r="I63" s="4">
        <f t="shared" si="6"/>
        <v>25520</v>
      </c>
      <c r="J63" s="4">
        <f t="shared" si="7"/>
        <v>9570</v>
      </c>
      <c r="K63" s="4">
        <v>22637</v>
      </c>
      <c r="L63" s="4">
        <f t="shared" si="8"/>
        <v>1506908</v>
      </c>
      <c r="M63" s="4">
        <f t="shared" si="4"/>
        <v>1205526.4000000001</v>
      </c>
      <c r="N63" s="5">
        <f t="shared" si="9"/>
        <v>301381.59999999986</v>
      </c>
    </row>
    <row r="64" spans="1:14" x14ac:dyDescent="0.35">
      <c r="A64" t="s">
        <v>100</v>
      </c>
      <c r="B64" s="7">
        <v>45404</v>
      </c>
      <c r="C64" s="2" t="s">
        <v>17</v>
      </c>
      <c r="D64" s="2" t="s">
        <v>34</v>
      </c>
      <c r="E64" s="2" t="s">
        <v>35</v>
      </c>
      <c r="F64" t="s">
        <v>21</v>
      </c>
      <c r="G64" s="2">
        <v>1</v>
      </c>
      <c r="H64" s="3">
        <f t="shared" si="0"/>
        <v>359000</v>
      </c>
      <c r="I64" s="4">
        <f t="shared" si="6"/>
        <v>28720</v>
      </c>
      <c r="J64" s="4">
        <f t="shared" si="7"/>
        <v>10770</v>
      </c>
      <c r="K64" s="4">
        <v>13164</v>
      </c>
      <c r="L64" s="4">
        <f t="shared" si="8"/>
        <v>411654</v>
      </c>
      <c r="M64" s="4">
        <f t="shared" si="4"/>
        <v>329323.2</v>
      </c>
      <c r="N64" s="5">
        <f t="shared" si="9"/>
        <v>82330.799999999988</v>
      </c>
    </row>
    <row r="65" spans="1:14" x14ac:dyDescent="0.35">
      <c r="A65" t="s">
        <v>101</v>
      </c>
      <c r="B65" s="7">
        <v>45506</v>
      </c>
      <c r="C65" s="2" t="s">
        <v>18</v>
      </c>
      <c r="D65" s="2" t="s">
        <v>36</v>
      </c>
      <c r="E65" s="2" t="s">
        <v>37</v>
      </c>
      <c r="F65" t="s">
        <v>21</v>
      </c>
      <c r="G65" s="2">
        <v>3</v>
      </c>
      <c r="H65" s="3">
        <f t="shared" si="0"/>
        <v>359000</v>
      </c>
      <c r="I65" s="4">
        <f t="shared" si="6"/>
        <v>28720</v>
      </c>
      <c r="J65" s="4">
        <f t="shared" si="7"/>
        <v>10770</v>
      </c>
      <c r="K65" s="4">
        <v>18855</v>
      </c>
      <c r="L65" s="4">
        <f t="shared" si="8"/>
        <v>1252035</v>
      </c>
      <c r="M65" s="4">
        <f t="shared" si="4"/>
        <v>1001628</v>
      </c>
      <c r="N65" s="5">
        <f t="shared" si="9"/>
        <v>250407</v>
      </c>
    </row>
    <row r="66" spans="1:14" x14ac:dyDescent="0.35">
      <c r="A66" t="s">
        <v>102</v>
      </c>
      <c r="B66" s="7">
        <v>45453</v>
      </c>
      <c r="C66" s="2" t="s">
        <v>14</v>
      </c>
      <c r="D66" s="2" t="s">
        <v>22</v>
      </c>
      <c r="E66" s="2" t="s">
        <v>23</v>
      </c>
      <c r="F66" t="s">
        <v>19</v>
      </c>
      <c r="G66" s="2">
        <v>4</v>
      </c>
      <c r="H66" s="3">
        <f t="shared" ref="H66:H129" si="10">IF(TRIM(F66)="Standard",319000,IF(TRIM(F66)="Custom",345000,IF(TRIM(F66)="Chrome",359000,"")))</f>
        <v>319000</v>
      </c>
      <c r="I66" s="4">
        <f t="shared" si="6"/>
        <v>25520</v>
      </c>
      <c r="J66" s="4">
        <f t="shared" si="7"/>
        <v>9570</v>
      </c>
      <c r="K66" s="4">
        <v>7752</v>
      </c>
      <c r="L66" s="4">
        <f t="shared" si="8"/>
        <v>1447368</v>
      </c>
      <c r="M66" s="4">
        <f t="shared" si="4"/>
        <v>1157894.4000000001</v>
      </c>
      <c r="N66" s="5">
        <f t="shared" si="9"/>
        <v>289473.59999999986</v>
      </c>
    </row>
    <row r="67" spans="1:14" x14ac:dyDescent="0.35">
      <c r="A67" t="s">
        <v>103</v>
      </c>
      <c r="B67" s="7">
        <v>45467</v>
      </c>
      <c r="C67" s="2" t="s">
        <v>14</v>
      </c>
      <c r="D67" s="2" t="s">
        <v>24</v>
      </c>
      <c r="E67" s="2" t="s">
        <v>25</v>
      </c>
      <c r="F67" t="s">
        <v>20</v>
      </c>
      <c r="G67" s="2">
        <v>2</v>
      </c>
      <c r="H67" s="3">
        <f t="shared" si="10"/>
        <v>345000</v>
      </c>
      <c r="I67" s="4">
        <f t="shared" si="6"/>
        <v>27600</v>
      </c>
      <c r="J67" s="4">
        <f t="shared" si="7"/>
        <v>10350</v>
      </c>
      <c r="K67" s="4">
        <v>12200</v>
      </c>
      <c r="L67" s="4">
        <f t="shared" si="8"/>
        <v>790300</v>
      </c>
      <c r="M67" s="4">
        <f t="shared" ref="M67:M130" si="11">L67*0.8</f>
        <v>632240</v>
      </c>
      <c r="N67" s="5">
        <f t="shared" si="9"/>
        <v>158060</v>
      </c>
    </row>
    <row r="68" spans="1:14" x14ac:dyDescent="0.35">
      <c r="A68" t="s">
        <v>104</v>
      </c>
      <c r="B68" s="7">
        <v>45434</v>
      </c>
      <c r="C68" s="2" t="s">
        <v>15</v>
      </c>
      <c r="D68" s="2" t="s">
        <v>26</v>
      </c>
      <c r="E68" s="2" t="s">
        <v>27</v>
      </c>
      <c r="F68" t="s">
        <v>21</v>
      </c>
      <c r="G68" s="2">
        <v>4</v>
      </c>
      <c r="H68" s="3">
        <f t="shared" si="10"/>
        <v>359000</v>
      </c>
      <c r="I68" s="4">
        <f t="shared" si="6"/>
        <v>28720</v>
      </c>
      <c r="J68" s="4">
        <f t="shared" si="7"/>
        <v>10770</v>
      </c>
      <c r="K68" s="4">
        <v>10271</v>
      </c>
      <c r="L68" s="4">
        <f t="shared" si="8"/>
        <v>1635044</v>
      </c>
      <c r="M68" s="4">
        <f t="shared" si="11"/>
        <v>1308035.2000000002</v>
      </c>
      <c r="N68" s="5">
        <f t="shared" si="9"/>
        <v>327008.79999999981</v>
      </c>
    </row>
    <row r="69" spans="1:14" x14ac:dyDescent="0.35">
      <c r="A69" t="s">
        <v>105</v>
      </c>
      <c r="B69" s="7">
        <v>45653</v>
      </c>
      <c r="C69" s="2" t="s">
        <v>15</v>
      </c>
      <c r="D69" s="2" t="s">
        <v>28</v>
      </c>
      <c r="E69" s="2" t="s">
        <v>29</v>
      </c>
      <c r="F69" t="s">
        <v>20</v>
      </c>
      <c r="G69" s="2">
        <v>2</v>
      </c>
      <c r="H69" s="3">
        <f t="shared" si="10"/>
        <v>345000</v>
      </c>
      <c r="I69" s="4">
        <f t="shared" si="6"/>
        <v>27600</v>
      </c>
      <c r="J69" s="4">
        <f t="shared" si="7"/>
        <v>10350</v>
      </c>
      <c r="K69" s="4">
        <v>17615</v>
      </c>
      <c r="L69" s="4">
        <f t="shared" si="8"/>
        <v>801130</v>
      </c>
      <c r="M69" s="4">
        <f t="shared" si="11"/>
        <v>640904</v>
      </c>
      <c r="N69" s="5">
        <f t="shared" si="9"/>
        <v>160226</v>
      </c>
    </row>
    <row r="70" spans="1:14" x14ac:dyDescent="0.35">
      <c r="A70" t="s">
        <v>106</v>
      </c>
      <c r="B70" s="7">
        <v>45344</v>
      </c>
      <c r="C70" s="2" t="s">
        <v>16</v>
      </c>
      <c r="D70" s="2" t="s">
        <v>30</v>
      </c>
      <c r="E70" s="2" t="s">
        <v>31</v>
      </c>
      <c r="F70" t="s">
        <v>21</v>
      </c>
      <c r="G70" s="2">
        <v>2</v>
      </c>
      <c r="H70" s="3">
        <f t="shared" si="10"/>
        <v>359000</v>
      </c>
      <c r="I70" s="4">
        <f t="shared" si="6"/>
        <v>28720</v>
      </c>
      <c r="J70" s="4">
        <f t="shared" si="7"/>
        <v>10770</v>
      </c>
      <c r="K70" s="4">
        <v>10854</v>
      </c>
      <c r="L70" s="4">
        <f t="shared" si="8"/>
        <v>818688</v>
      </c>
      <c r="M70" s="4">
        <f t="shared" si="11"/>
        <v>654950.40000000002</v>
      </c>
      <c r="N70" s="5">
        <f t="shared" si="9"/>
        <v>163737.59999999998</v>
      </c>
    </row>
    <row r="71" spans="1:14" x14ac:dyDescent="0.35">
      <c r="A71" t="s">
        <v>107</v>
      </c>
      <c r="B71" s="7">
        <v>45458</v>
      </c>
      <c r="C71" s="2" t="s">
        <v>16</v>
      </c>
      <c r="D71" s="2" t="s">
        <v>32</v>
      </c>
      <c r="E71" s="2" t="s">
        <v>33</v>
      </c>
      <c r="F71" t="s">
        <v>19</v>
      </c>
      <c r="G71" s="2">
        <v>2</v>
      </c>
      <c r="H71" s="3">
        <f t="shared" si="10"/>
        <v>319000</v>
      </c>
      <c r="I71" s="4">
        <f t="shared" si="6"/>
        <v>25520</v>
      </c>
      <c r="J71" s="4">
        <f t="shared" si="7"/>
        <v>9570</v>
      </c>
      <c r="K71" s="4">
        <v>24391</v>
      </c>
      <c r="L71" s="4">
        <f t="shared" si="8"/>
        <v>756962</v>
      </c>
      <c r="M71" s="4">
        <f t="shared" si="11"/>
        <v>605569.6</v>
      </c>
      <c r="N71" s="5">
        <f t="shared" si="9"/>
        <v>151392.40000000002</v>
      </c>
    </row>
    <row r="72" spans="1:14" x14ac:dyDescent="0.35">
      <c r="A72" t="s">
        <v>108</v>
      </c>
      <c r="B72" s="7">
        <v>45630</v>
      </c>
      <c r="C72" s="2" t="s">
        <v>17</v>
      </c>
      <c r="D72" s="2" t="s">
        <v>34</v>
      </c>
      <c r="E72" s="2" t="s">
        <v>35</v>
      </c>
      <c r="F72" t="s">
        <v>21</v>
      </c>
      <c r="G72" s="2">
        <v>1</v>
      </c>
      <c r="H72" s="3">
        <f t="shared" si="10"/>
        <v>359000</v>
      </c>
      <c r="I72" s="4">
        <f t="shared" si="6"/>
        <v>28720</v>
      </c>
      <c r="J72" s="4">
        <f t="shared" si="7"/>
        <v>10770</v>
      </c>
      <c r="K72" s="4">
        <v>12131</v>
      </c>
      <c r="L72" s="4">
        <f t="shared" si="8"/>
        <v>410621</v>
      </c>
      <c r="M72" s="4">
        <f t="shared" si="11"/>
        <v>328496.80000000005</v>
      </c>
      <c r="N72" s="5">
        <f t="shared" si="9"/>
        <v>82124.199999999953</v>
      </c>
    </row>
    <row r="73" spans="1:14" x14ac:dyDescent="0.35">
      <c r="A73" t="s">
        <v>109</v>
      </c>
      <c r="B73" s="7">
        <v>45408</v>
      </c>
      <c r="C73" s="2" t="s">
        <v>18</v>
      </c>
      <c r="D73" s="2" t="s">
        <v>36</v>
      </c>
      <c r="E73" s="2" t="s">
        <v>37</v>
      </c>
      <c r="F73" t="s">
        <v>21</v>
      </c>
      <c r="G73" s="2">
        <v>2</v>
      </c>
      <c r="H73" s="3">
        <f t="shared" si="10"/>
        <v>359000</v>
      </c>
      <c r="I73" s="4">
        <f t="shared" si="6"/>
        <v>28720</v>
      </c>
      <c r="J73" s="4">
        <f t="shared" si="7"/>
        <v>10770</v>
      </c>
      <c r="K73" s="4">
        <v>5726</v>
      </c>
      <c r="L73" s="4">
        <f t="shared" si="8"/>
        <v>808432</v>
      </c>
      <c r="M73" s="4">
        <f t="shared" si="11"/>
        <v>646745.60000000009</v>
      </c>
      <c r="N73" s="5">
        <f t="shared" si="9"/>
        <v>161686.39999999991</v>
      </c>
    </row>
    <row r="74" spans="1:14" x14ac:dyDescent="0.35">
      <c r="A74" t="s">
        <v>110</v>
      </c>
      <c r="B74" s="7">
        <v>45413</v>
      </c>
      <c r="C74" s="2" t="s">
        <v>14</v>
      </c>
      <c r="D74" s="2" t="s">
        <v>22</v>
      </c>
      <c r="E74" s="2" t="s">
        <v>23</v>
      </c>
      <c r="F74" t="s">
        <v>19</v>
      </c>
      <c r="G74" s="2">
        <v>5</v>
      </c>
      <c r="H74" s="3">
        <f t="shared" si="10"/>
        <v>319000</v>
      </c>
      <c r="I74" s="4">
        <f t="shared" ref="I74:I137" si="12">H74*0.08</f>
        <v>25520</v>
      </c>
      <c r="J74" s="4">
        <f t="shared" ref="J74:J137" si="13">H74*0.03</f>
        <v>9570</v>
      </c>
      <c r="K74" s="4">
        <v>18805</v>
      </c>
      <c r="L74" s="4">
        <f t="shared" ref="L74:L137" si="14">G74*(H74+I74+J74+K74)</f>
        <v>1864475</v>
      </c>
      <c r="M74" s="4">
        <f t="shared" si="11"/>
        <v>1491580</v>
      </c>
      <c r="N74" s="5">
        <f t="shared" ref="N74:N137" si="15">L74-M74</f>
        <v>372895</v>
      </c>
    </row>
    <row r="75" spans="1:14" x14ac:dyDescent="0.35">
      <c r="A75" t="s">
        <v>111</v>
      </c>
      <c r="B75" s="7">
        <v>45437</v>
      </c>
      <c r="C75" s="2" t="s">
        <v>14</v>
      </c>
      <c r="D75" s="2" t="s">
        <v>24</v>
      </c>
      <c r="E75" s="2" t="s">
        <v>25</v>
      </c>
      <c r="F75" t="s">
        <v>20</v>
      </c>
      <c r="G75" s="2">
        <v>3</v>
      </c>
      <c r="H75" s="3">
        <f t="shared" si="10"/>
        <v>345000</v>
      </c>
      <c r="I75" s="4">
        <f t="shared" si="12"/>
        <v>27600</v>
      </c>
      <c r="J75" s="4">
        <f t="shared" si="13"/>
        <v>10350</v>
      </c>
      <c r="K75" s="4">
        <v>9264</v>
      </c>
      <c r="L75" s="4">
        <f t="shared" si="14"/>
        <v>1176642</v>
      </c>
      <c r="M75" s="4">
        <f t="shared" si="11"/>
        <v>941313.60000000009</v>
      </c>
      <c r="N75" s="5">
        <f t="shared" si="15"/>
        <v>235328.39999999991</v>
      </c>
    </row>
    <row r="76" spans="1:14" x14ac:dyDescent="0.35">
      <c r="A76" t="s">
        <v>112</v>
      </c>
      <c r="B76" s="7">
        <v>45526</v>
      </c>
      <c r="C76" s="2" t="s">
        <v>15</v>
      </c>
      <c r="D76" s="2" t="s">
        <v>26</v>
      </c>
      <c r="E76" s="2" t="s">
        <v>27</v>
      </c>
      <c r="F76" t="s">
        <v>21</v>
      </c>
      <c r="G76" s="2">
        <v>2</v>
      </c>
      <c r="H76" s="3">
        <f t="shared" si="10"/>
        <v>359000</v>
      </c>
      <c r="I76" s="4">
        <f t="shared" si="12"/>
        <v>28720</v>
      </c>
      <c r="J76" s="4">
        <f t="shared" si="13"/>
        <v>10770</v>
      </c>
      <c r="K76" s="4">
        <v>15169</v>
      </c>
      <c r="L76" s="4">
        <f t="shared" si="14"/>
        <v>827318</v>
      </c>
      <c r="M76" s="4">
        <f t="shared" si="11"/>
        <v>661854.4</v>
      </c>
      <c r="N76" s="5">
        <f t="shared" si="15"/>
        <v>165463.59999999998</v>
      </c>
    </row>
    <row r="77" spans="1:14" x14ac:dyDescent="0.35">
      <c r="A77" t="s">
        <v>113</v>
      </c>
      <c r="B77" s="7">
        <v>45358</v>
      </c>
      <c r="C77" s="2" t="s">
        <v>15</v>
      </c>
      <c r="D77" s="2" t="s">
        <v>28</v>
      </c>
      <c r="E77" s="2" t="s">
        <v>29</v>
      </c>
      <c r="F77" t="s">
        <v>20</v>
      </c>
      <c r="G77" s="2">
        <v>3</v>
      </c>
      <c r="H77" s="3">
        <f t="shared" si="10"/>
        <v>345000</v>
      </c>
      <c r="I77" s="4">
        <f t="shared" si="12"/>
        <v>27600</v>
      </c>
      <c r="J77" s="4">
        <f t="shared" si="13"/>
        <v>10350</v>
      </c>
      <c r="K77" s="4">
        <v>19509</v>
      </c>
      <c r="L77" s="4">
        <f t="shared" si="14"/>
        <v>1207377</v>
      </c>
      <c r="M77" s="4">
        <f t="shared" si="11"/>
        <v>965901.60000000009</v>
      </c>
      <c r="N77" s="5">
        <f t="shared" si="15"/>
        <v>241475.39999999991</v>
      </c>
    </row>
    <row r="78" spans="1:14" x14ac:dyDescent="0.35">
      <c r="A78" t="s">
        <v>114</v>
      </c>
      <c r="B78" s="7">
        <v>45501</v>
      </c>
      <c r="C78" s="2" t="s">
        <v>16</v>
      </c>
      <c r="D78" s="2" t="s">
        <v>30</v>
      </c>
      <c r="E78" s="2" t="s">
        <v>31</v>
      </c>
      <c r="F78" t="s">
        <v>21</v>
      </c>
      <c r="G78" s="2">
        <v>1</v>
      </c>
      <c r="H78" s="3">
        <f t="shared" si="10"/>
        <v>359000</v>
      </c>
      <c r="I78" s="4">
        <f t="shared" si="12"/>
        <v>28720</v>
      </c>
      <c r="J78" s="4">
        <f t="shared" si="13"/>
        <v>10770</v>
      </c>
      <c r="K78" s="4">
        <v>15242</v>
      </c>
      <c r="L78" s="4">
        <f t="shared" si="14"/>
        <v>413732</v>
      </c>
      <c r="M78" s="4">
        <f t="shared" si="11"/>
        <v>330985.60000000003</v>
      </c>
      <c r="N78" s="5">
        <f t="shared" si="15"/>
        <v>82746.399999999965</v>
      </c>
    </row>
    <row r="79" spans="1:14" x14ac:dyDescent="0.35">
      <c r="A79" t="s">
        <v>115</v>
      </c>
      <c r="B79" s="7">
        <v>45396</v>
      </c>
      <c r="C79" s="2" t="s">
        <v>16</v>
      </c>
      <c r="D79" s="2" t="s">
        <v>32</v>
      </c>
      <c r="E79" s="2" t="s">
        <v>33</v>
      </c>
      <c r="F79" t="s">
        <v>19</v>
      </c>
      <c r="G79" s="2">
        <v>2</v>
      </c>
      <c r="H79" s="3">
        <f t="shared" si="10"/>
        <v>319000</v>
      </c>
      <c r="I79" s="4">
        <f t="shared" si="12"/>
        <v>25520</v>
      </c>
      <c r="J79" s="4">
        <f t="shared" si="13"/>
        <v>9570</v>
      </c>
      <c r="K79" s="4">
        <v>15790</v>
      </c>
      <c r="L79" s="4">
        <f t="shared" si="14"/>
        <v>739760</v>
      </c>
      <c r="M79" s="4">
        <f t="shared" si="11"/>
        <v>591808</v>
      </c>
      <c r="N79" s="5">
        <f t="shared" si="15"/>
        <v>147952</v>
      </c>
    </row>
    <row r="80" spans="1:14" x14ac:dyDescent="0.35">
      <c r="A80" t="s">
        <v>116</v>
      </c>
      <c r="B80" s="7">
        <v>45541</v>
      </c>
      <c r="C80" s="2" t="s">
        <v>17</v>
      </c>
      <c r="D80" s="2" t="s">
        <v>34</v>
      </c>
      <c r="E80" s="2" t="s">
        <v>35</v>
      </c>
      <c r="F80" t="s">
        <v>21</v>
      </c>
      <c r="G80" s="2">
        <v>2</v>
      </c>
      <c r="H80" s="3">
        <f t="shared" si="10"/>
        <v>359000</v>
      </c>
      <c r="I80" s="4">
        <f t="shared" si="12"/>
        <v>28720</v>
      </c>
      <c r="J80" s="4">
        <f t="shared" si="13"/>
        <v>10770</v>
      </c>
      <c r="K80" s="4">
        <v>6619</v>
      </c>
      <c r="L80" s="4">
        <f t="shared" si="14"/>
        <v>810218</v>
      </c>
      <c r="M80" s="4">
        <f t="shared" si="11"/>
        <v>648174.4</v>
      </c>
      <c r="N80" s="5">
        <f t="shared" si="15"/>
        <v>162043.59999999998</v>
      </c>
    </row>
    <row r="81" spans="1:14" x14ac:dyDescent="0.35">
      <c r="A81" t="s">
        <v>117</v>
      </c>
      <c r="B81" s="7">
        <v>45642</v>
      </c>
      <c r="C81" s="2" t="s">
        <v>18</v>
      </c>
      <c r="D81" s="2" t="s">
        <v>36</v>
      </c>
      <c r="E81" s="2" t="s">
        <v>37</v>
      </c>
      <c r="F81" t="s">
        <v>21</v>
      </c>
      <c r="G81" s="2">
        <v>3</v>
      </c>
      <c r="H81" s="3">
        <f t="shared" si="10"/>
        <v>359000</v>
      </c>
      <c r="I81" s="4">
        <f t="shared" si="12"/>
        <v>28720</v>
      </c>
      <c r="J81" s="4">
        <f t="shared" si="13"/>
        <v>10770</v>
      </c>
      <c r="K81" s="4">
        <v>20533</v>
      </c>
      <c r="L81" s="4">
        <f t="shared" si="14"/>
        <v>1257069</v>
      </c>
      <c r="M81" s="4">
        <f t="shared" si="11"/>
        <v>1005655.2000000001</v>
      </c>
      <c r="N81" s="5">
        <f t="shared" si="15"/>
        <v>251413.79999999993</v>
      </c>
    </row>
    <row r="82" spans="1:14" x14ac:dyDescent="0.35">
      <c r="A82" t="s">
        <v>118</v>
      </c>
      <c r="B82" s="7">
        <v>45600</v>
      </c>
      <c r="C82" s="2" t="s">
        <v>14</v>
      </c>
      <c r="D82" s="2" t="s">
        <v>22</v>
      </c>
      <c r="E82" s="2" t="s">
        <v>23</v>
      </c>
      <c r="F82" t="s">
        <v>19</v>
      </c>
      <c r="G82" s="2">
        <v>2</v>
      </c>
      <c r="H82" s="3">
        <f t="shared" si="10"/>
        <v>319000</v>
      </c>
      <c r="I82" s="4">
        <f t="shared" si="12"/>
        <v>25520</v>
      </c>
      <c r="J82" s="4">
        <f t="shared" si="13"/>
        <v>9570</v>
      </c>
      <c r="K82" s="4">
        <v>14044</v>
      </c>
      <c r="L82" s="4">
        <f t="shared" si="14"/>
        <v>736268</v>
      </c>
      <c r="M82" s="4">
        <f t="shared" si="11"/>
        <v>589014.4</v>
      </c>
      <c r="N82" s="5">
        <f t="shared" si="15"/>
        <v>147253.59999999998</v>
      </c>
    </row>
    <row r="83" spans="1:14" x14ac:dyDescent="0.35">
      <c r="A83" t="s">
        <v>119</v>
      </c>
      <c r="B83" s="7">
        <v>45637</v>
      </c>
      <c r="C83" s="2" t="s">
        <v>14</v>
      </c>
      <c r="D83" s="2" t="s">
        <v>24</v>
      </c>
      <c r="E83" s="2" t="s">
        <v>25</v>
      </c>
      <c r="F83" t="s">
        <v>20</v>
      </c>
      <c r="G83" s="2">
        <v>2</v>
      </c>
      <c r="H83" s="3">
        <f t="shared" si="10"/>
        <v>345000</v>
      </c>
      <c r="I83" s="4">
        <f t="shared" si="12"/>
        <v>27600</v>
      </c>
      <c r="J83" s="4">
        <f t="shared" si="13"/>
        <v>10350</v>
      </c>
      <c r="K83" s="4">
        <v>6073</v>
      </c>
      <c r="L83" s="4">
        <f t="shared" si="14"/>
        <v>778046</v>
      </c>
      <c r="M83" s="4">
        <f t="shared" si="11"/>
        <v>622436.80000000005</v>
      </c>
      <c r="N83" s="5">
        <f t="shared" si="15"/>
        <v>155609.19999999995</v>
      </c>
    </row>
    <row r="84" spans="1:14" x14ac:dyDescent="0.35">
      <c r="A84" t="s">
        <v>120</v>
      </c>
      <c r="B84" s="7">
        <v>45293</v>
      </c>
      <c r="C84" s="2" t="s">
        <v>15</v>
      </c>
      <c r="D84" s="2" t="s">
        <v>26</v>
      </c>
      <c r="E84" s="2" t="s">
        <v>27</v>
      </c>
      <c r="F84" t="s">
        <v>21</v>
      </c>
      <c r="G84" s="2">
        <v>1</v>
      </c>
      <c r="H84" s="3">
        <f t="shared" si="10"/>
        <v>359000</v>
      </c>
      <c r="I84" s="4">
        <f t="shared" si="12"/>
        <v>28720</v>
      </c>
      <c r="J84" s="4">
        <f t="shared" si="13"/>
        <v>10770</v>
      </c>
      <c r="K84" s="4">
        <v>8555</v>
      </c>
      <c r="L84" s="4">
        <f t="shared" si="14"/>
        <v>407045</v>
      </c>
      <c r="M84" s="4">
        <f t="shared" si="11"/>
        <v>325636</v>
      </c>
      <c r="N84" s="5">
        <f t="shared" si="15"/>
        <v>81409</v>
      </c>
    </row>
    <row r="85" spans="1:14" x14ac:dyDescent="0.35">
      <c r="A85" t="s">
        <v>121</v>
      </c>
      <c r="B85" s="7">
        <v>45505</v>
      </c>
      <c r="C85" s="2" t="s">
        <v>15</v>
      </c>
      <c r="D85" s="2" t="s">
        <v>28</v>
      </c>
      <c r="E85" s="2" t="s">
        <v>29</v>
      </c>
      <c r="F85" t="s">
        <v>20</v>
      </c>
      <c r="G85" s="2">
        <v>2</v>
      </c>
      <c r="H85" s="3">
        <f t="shared" si="10"/>
        <v>345000</v>
      </c>
      <c r="I85" s="4">
        <f t="shared" si="12"/>
        <v>27600</v>
      </c>
      <c r="J85" s="4">
        <f t="shared" si="13"/>
        <v>10350</v>
      </c>
      <c r="K85" s="4">
        <v>22405</v>
      </c>
      <c r="L85" s="4">
        <f t="shared" si="14"/>
        <v>810710</v>
      </c>
      <c r="M85" s="4">
        <f t="shared" si="11"/>
        <v>648568</v>
      </c>
      <c r="N85" s="5">
        <f t="shared" si="15"/>
        <v>162142</v>
      </c>
    </row>
    <row r="86" spans="1:14" x14ac:dyDescent="0.35">
      <c r="A86" t="s">
        <v>122</v>
      </c>
      <c r="B86" s="7">
        <v>45331</v>
      </c>
      <c r="C86" s="2" t="s">
        <v>16</v>
      </c>
      <c r="D86" s="2" t="s">
        <v>30</v>
      </c>
      <c r="E86" s="2" t="s">
        <v>31</v>
      </c>
      <c r="F86" t="s">
        <v>21</v>
      </c>
      <c r="G86" s="2">
        <v>3</v>
      </c>
      <c r="H86" s="3">
        <f t="shared" si="10"/>
        <v>359000</v>
      </c>
      <c r="I86" s="4">
        <f t="shared" si="12"/>
        <v>28720</v>
      </c>
      <c r="J86" s="4">
        <f t="shared" si="13"/>
        <v>10770</v>
      </c>
      <c r="K86" s="4">
        <v>18420</v>
      </c>
      <c r="L86" s="4">
        <f t="shared" si="14"/>
        <v>1250730</v>
      </c>
      <c r="M86" s="4">
        <f t="shared" si="11"/>
        <v>1000584</v>
      </c>
      <c r="N86" s="5">
        <f t="shared" si="15"/>
        <v>250146</v>
      </c>
    </row>
    <row r="87" spans="1:14" x14ac:dyDescent="0.35">
      <c r="A87" t="s">
        <v>123</v>
      </c>
      <c r="B87" s="7">
        <v>45324</v>
      </c>
      <c r="C87" s="2" t="s">
        <v>16</v>
      </c>
      <c r="D87" s="2" t="s">
        <v>32</v>
      </c>
      <c r="E87" s="2" t="s">
        <v>33</v>
      </c>
      <c r="F87" t="s">
        <v>19</v>
      </c>
      <c r="G87" s="2">
        <v>5</v>
      </c>
      <c r="H87" s="3">
        <f t="shared" si="10"/>
        <v>319000</v>
      </c>
      <c r="I87" s="4">
        <f t="shared" si="12"/>
        <v>25520</v>
      </c>
      <c r="J87" s="4">
        <f t="shared" si="13"/>
        <v>9570</v>
      </c>
      <c r="K87" s="4">
        <v>6402</v>
      </c>
      <c r="L87" s="4">
        <f t="shared" si="14"/>
        <v>1802460</v>
      </c>
      <c r="M87" s="4">
        <f t="shared" si="11"/>
        <v>1441968</v>
      </c>
      <c r="N87" s="5">
        <f t="shared" si="15"/>
        <v>360492</v>
      </c>
    </row>
    <row r="88" spans="1:14" x14ac:dyDescent="0.35">
      <c r="A88" t="s">
        <v>124</v>
      </c>
      <c r="B88" s="7">
        <v>45421</v>
      </c>
      <c r="C88" s="2" t="s">
        <v>17</v>
      </c>
      <c r="D88" s="2" t="s">
        <v>34</v>
      </c>
      <c r="E88" s="2" t="s">
        <v>35</v>
      </c>
      <c r="F88" t="s">
        <v>21</v>
      </c>
      <c r="G88" s="2">
        <v>5</v>
      </c>
      <c r="H88" s="3">
        <f t="shared" si="10"/>
        <v>359000</v>
      </c>
      <c r="I88" s="4">
        <f t="shared" si="12"/>
        <v>28720</v>
      </c>
      <c r="J88" s="4">
        <f t="shared" si="13"/>
        <v>10770</v>
      </c>
      <c r="K88" s="4">
        <v>14178</v>
      </c>
      <c r="L88" s="4">
        <f t="shared" si="14"/>
        <v>2063340</v>
      </c>
      <c r="M88" s="4">
        <f t="shared" si="11"/>
        <v>1650672</v>
      </c>
      <c r="N88" s="5">
        <f t="shared" si="15"/>
        <v>412668</v>
      </c>
    </row>
    <row r="89" spans="1:14" x14ac:dyDescent="0.35">
      <c r="A89" t="s">
        <v>125</v>
      </c>
      <c r="B89" s="7">
        <v>45405</v>
      </c>
      <c r="C89" s="2" t="s">
        <v>18</v>
      </c>
      <c r="D89" s="2" t="s">
        <v>36</v>
      </c>
      <c r="E89" s="2" t="s">
        <v>37</v>
      </c>
      <c r="F89" t="s">
        <v>21</v>
      </c>
      <c r="G89" s="2">
        <v>5</v>
      </c>
      <c r="H89" s="3">
        <f t="shared" si="10"/>
        <v>359000</v>
      </c>
      <c r="I89" s="4">
        <f t="shared" si="12"/>
        <v>28720</v>
      </c>
      <c r="J89" s="4">
        <f t="shared" si="13"/>
        <v>10770</v>
      </c>
      <c r="K89" s="4">
        <v>18132</v>
      </c>
      <c r="L89" s="4">
        <f t="shared" si="14"/>
        <v>2083110</v>
      </c>
      <c r="M89" s="4">
        <f t="shared" si="11"/>
        <v>1666488</v>
      </c>
      <c r="N89" s="5">
        <f t="shared" si="15"/>
        <v>416622</v>
      </c>
    </row>
    <row r="90" spans="1:14" x14ac:dyDescent="0.35">
      <c r="A90" t="s">
        <v>126</v>
      </c>
      <c r="B90" s="7">
        <v>45548</v>
      </c>
      <c r="C90" s="2" t="s">
        <v>14</v>
      </c>
      <c r="D90" s="2" t="s">
        <v>22</v>
      </c>
      <c r="E90" s="2" t="s">
        <v>23</v>
      </c>
      <c r="F90" t="s">
        <v>19</v>
      </c>
      <c r="G90" s="2">
        <v>3</v>
      </c>
      <c r="H90" s="3">
        <f t="shared" si="10"/>
        <v>319000</v>
      </c>
      <c r="I90" s="4">
        <f t="shared" si="12"/>
        <v>25520</v>
      </c>
      <c r="J90" s="4">
        <f t="shared" si="13"/>
        <v>9570</v>
      </c>
      <c r="K90" s="4">
        <v>15173</v>
      </c>
      <c r="L90" s="4">
        <f t="shared" si="14"/>
        <v>1107789</v>
      </c>
      <c r="M90" s="4">
        <f t="shared" si="11"/>
        <v>886231.20000000007</v>
      </c>
      <c r="N90" s="5">
        <f t="shared" si="15"/>
        <v>221557.79999999993</v>
      </c>
    </row>
    <row r="91" spans="1:14" x14ac:dyDescent="0.35">
      <c r="A91" t="s">
        <v>127</v>
      </c>
      <c r="B91" s="7">
        <v>45630</v>
      </c>
      <c r="C91" s="2" t="s">
        <v>14</v>
      </c>
      <c r="D91" s="2" t="s">
        <v>24</v>
      </c>
      <c r="E91" s="2" t="s">
        <v>25</v>
      </c>
      <c r="F91" t="s">
        <v>20</v>
      </c>
      <c r="G91" s="2">
        <v>2</v>
      </c>
      <c r="H91" s="3">
        <f t="shared" si="10"/>
        <v>345000</v>
      </c>
      <c r="I91" s="4">
        <f t="shared" si="12"/>
        <v>27600</v>
      </c>
      <c r="J91" s="4">
        <f t="shared" si="13"/>
        <v>10350</v>
      </c>
      <c r="K91" s="4">
        <v>24578</v>
      </c>
      <c r="L91" s="4">
        <f t="shared" si="14"/>
        <v>815056</v>
      </c>
      <c r="M91" s="4">
        <f t="shared" si="11"/>
        <v>652044.80000000005</v>
      </c>
      <c r="N91" s="5">
        <f t="shared" si="15"/>
        <v>163011.19999999995</v>
      </c>
    </row>
    <row r="92" spans="1:14" x14ac:dyDescent="0.35">
      <c r="A92" t="s">
        <v>128</v>
      </c>
      <c r="B92" s="7">
        <v>45521</v>
      </c>
      <c r="C92" s="2" t="s">
        <v>15</v>
      </c>
      <c r="D92" s="2" t="s">
        <v>26</v>
      </c>
      <c r="E92" s="2" t="s">
        <v>27</v>
      </c>
      <c r="F92" t="s">
        <v>21</v>
      </c>
      <c r="G92" s="2">
        <v>3</v>
      </c>
      <c r="H92" s="3">
        <f t="shared" si="10"/>
        <v>359000</v>
      </c>
      <c r="I92" s="4">
        <f t="shared" si="12"/>
        <v>28720</v>
      </c>
      <c r="J92" s="4">
        <f t="shared" si="13"/>
        <v>10770</v>
      </c>
      <c r="K92" s="4">
        <v>22865</v>
      </c>
      <c r="L92" s="4">
        <f t="shared" si="14"/>
        <v>1264065</v>
      </c>
      <c r="M92" s="4">
        <f t="shared" si="11"/>
        <v>1011252</v>
      </c>
      <c r="N92" s="5">
        <f t="shared" si="15"/>
        <v>252813</v>
      </c>
    </row>
    <row r="93" spans="1:14" x14ac:dyDescent="0.35">
      <c r="A93" t="s">
        <v>129</v>
      </c>
      <c r="B93" s="7">
        <v>45465</v>
      </c>
      <c r="C93" s="2" t="s">
        <v>15</v>
      </c>
      <c r="D93" s="2" t="s">
        <v>28</v>
      </c>
      <c r="E93" s="2" t="s">
        <v>29</v>
      </c>
      <c r="F93" t="s">
        <v>20</v>
      </c>
      <c r="G93" s="2">
        <v>5</v>
      </c>
      <c r="H93" s="3">
        <f t="shared" si="10"/>
        <v>345000</v>
      </c>
      <c r="I93" s="4">
        <f t="shared" si="12"/>
        <v>27600</v>
      </c>
      <c r="J93" s="4">
        <f t="shared" si="13"/>
        <v>10350</v>
      </c>
      <c r="K93" s="4">
        <v>24548</v>
      </c>
      <c r="L93" s="4">
        <f t="shared" si="14"/>
        <v>2037490</v>
      </c>
      <c r="M93" s="4">
        <f t="shared" si="11"/>
        <v>1629992</v>
      </c>
      <c r="N93" s="5">
        <f t="shared" si="15"/>
        <v>407498</v>
      </c>
    </row>
    <row r="94" spans="1:14" x14ac:dyDescent="0.35">
      <c r="A94" t="s">
        <v>130</v>
      </c>
      <c r="B94" s="7">
        <v>45348</v>
      </c>
      <c r="C94" s="2" t="s">
        <v>16</v>
      </c>
      <c r="D94" s="2" t="s">
        <v>30</v>
      </c>
      <c r="E94" s="2" t="s">
        <v>31</v>
      </c>
      <c r="F94" t="s">
        <v>21</v>
      </c>
      <c r="G94" s="2">
        <v>5</v>
      </c>
      <c r="H94" s="3">
        <f t="shared" si="10"/>
        <v>359000</v>
      </c>
      <c r="I94" s="4">
        <f t="shared" si="12"/>
        <v>28720</v>
      </c>
      <c r="J94" s="4">
        <f t="shared" si="13"/>
        <v>10770</v>
      </c>
      <c r="K94" s="4">
        <v>23859</v>
      </c>
      <c r="L94" s="4">
        <f t="shared" si="14"/>
        <v>2111745</v>
      </c>
      <c r="M94" s="4">
        <f t="shared" si="11"/>
        <v>1689396</v>
      </c>
      <c r="N94" s="5">
        <f t="shared" si="15"/>
        <v>422349</v>
      </c>
    </row>
    <row r="95" spans="1:14" x14ac:dyDescent="0.35">
      <c r="A95" t="s">
        <v>131</v>
      </c>
      <c r="B95" s="7">
        <v>45335</v>
      </c>
      <c r="C95" s="2" t="s">
        <v>16</v>
      </c>
      <c r="D95" s="2" t="s">
        <v>32</v>
      </c>
      <c r="E95" s="2" t="s">
        <v>33</v>
      </c>
      <c r="F95" t="s">
        <v>19</v>
      </c>
      <c r="G95" s="2">
        <v>1</v>
      </c>
      <c r="H95" s="3">
        <f t="shared" si="10"/>
        <v>319000</v>
      </c>
      <c r="I95" s="4">
        <f t="shared" si="12"/>
        <v>25520</v>
      </c>
      <c r="J95" s="4">
        <f t="shared" si="13"/>
        <v>9570</v>
      </c>
      <c r="K95" s="4">
        <v>11732</v>
      </c>
      <c r="L95" s="4">
        <f t="shared" si="14"/>
        <v>365822</v>
      </c>
      <c r="M95" s="4">
        <f t="shared" si="11"/>
        <v>292657.60000000003</v>
      </c>
      <c r="N95" s="5">
        <f t="shared" si="15"/>
        <v>73164.399999999965</v>
      </c>
    </row>
    <row r="96" spans="1:14" x14ac:dyDescent="0.35">
      <c r="A96" t="s">
        <v>132</v>
      </c>
      <c r="B96" s="7">
        <v>45570</v>
      </c>
      <c r="C96" s="2" t="s">
        <v>17</v>
      </c>
      <c r="D96" s="2" t="s">
        <v>34</v>
      </c>
      <c r="E96" s="2" t="s">
        <v>35</v>
      </c>
      <c r="F96" t="s">
        <v>21</v>
      </c>
      <c r="G96" s="2">
        <v>2</v>
      </c>
      <c r="H96" s="3">
        <f t="shared" si="10"/>
        <v>359000</v>
      </c>
      <c r="I96" s="4">
        <f t="shared" si="12"/>
        <v>28720</v>
      </c>
      <c r="J96" s="4">
        <f t="shared" si="13"/>
        <v>10770</v>
      </c>
      <c r="K96" s="4">
        <v>24971</v>
      </c>
      <c r="L96" s="4">
        <f t="shared" si="14"/>
        <v>846922</v>
      </c>
      <c r="M96" s="4">
        <f t="shared" si="11"/>
        <v>677537.60000000009</v>
      </c>
      <c r="N96" s="5">
        <f t="shared" si="15"/>
        <v>169384.39999999991</v>
      </c>
    </row>
    <row r="97" spans="1:14" x14ac:dyDescent="0.35">
      <c r="A97" t="s">
        <v>133</v>
      </c>
      <c r="B97" s="7">
        <v>45560</v>
      </c>
      <c r="C97" s="2" t="s">
        <v>18</v>
      </c>
      <c r="D97" s="2" t="s">
        <v>36</v>
      </c>
      <c r="E97" s="2" t="s">
        <v>37</v>
      </c>
      <c r="F97" t="s">
        <v>21</v>
      </c>
      <c r="G97" s="2">
        <v>4</v>
      </c>
      <c r="H97" s="3">
        <f t="shared" si="10"/>
        <v>359000</v>
      </c>
      <c r="I97" s="4">
        <f t="shared" si="12"/>
        <v>28720</v>
      </c>
      <c r="J97" s="4">
        <f t="shared" si="13"/>
        <v>10770</v>
      </c>
      <c r="K97" s="4">
        <v>10261</v>
      </c>
      <c r="L97" s="4">
        <f t="shared" si="14"/>
        <v>1635004</v>
      </c>
      <c r="M97" s="4">
        <f t="shared" si="11"/>
        <v>1308003.2000000002</v>
      </c>
      <c r="N97" s="5">
        <f t="shared" si="15"/>
        <v>327000.79999999981</v>
      </c>
    </row>
    <row r="98" spans="1:14" x14ac:dyDescent="0.35">
      <c r="A98" t="s">
        <v>134</v>
      </c>
      <c r="B98" s="7">
        <v>45331</v>
      </c>
      <c r="C98" s="2" t="s">
        <v>14</v>
      </c>
      <c r="D98" s="2" t="s">
        <v>22</v>
      </c>
      <c r="E98" s="2" t="s">
        <v>23</v>
      </c>
      <c r="F98" t="s">
        <v>19</v>
      </c>
      <c r="G98" s="2">
        <v>1</v>
      </c>
      <c r="H98" s="3">
        <f t="shared" si="10"/>
        <v>319000</v>
      </c>
      <c r="I98" s="4">
        <f t="shared" si="12"/>
        <v>25520</v>
      </c>
      <c r="J98" s="4">
        <f t="shared" si="13"/>
        <v>9570</v>
      </c>
      <c r="K98" s="4">
        <v>15335</v>
      </c>
      <c r="L98" s="4">
        <f t="shared" si="14"/>
        <v>369425</v>
      </c>
      <c r="M98" s="4">
        <f t="shared" si="11"/>
        <v>295540</v>
      </c>
      <c r="N98" s="5">
        <f t="shared" si="15"/>
        <v>73885</v>
      </c>
    </row>
    <row r="99" spans="1:14" x14ac:dyDescent="0.35">
      <c r="A99" t="s">
        <v>135</v>
      </c>
      <c r="B99" s="7">
        <v>45562</v>
      </c>
      <c r="C99" s="2" t="s">
        <v>14</v>
      </c>
      <c r="D99" s="2" t="s">
        <v>24</v>
      </c>
      <c r="E99" s="2" t="s">
        <v>25</v>
      </c>
      <c r="F99" t="s">
        <v>20</v>
      </c>
      <c r="G99" s="2">
        <v>2</v>
      </c>
      <c r="H99" s="3">
        <f t="shared" si="10"/>
        <v>345000</v>
      </c>
      <c r="I99" s="4">
        <f t="shared" si="12"/>
        <v>27600</v>
      </c>
      <c r="J99" s="4">
        <f t="shared" si="13"/>
        <v>10350</v>
      </c>
      <c r="K99" s="4">
        <v>17465</v>
      </c>
      <c r="L99" s="4">
        <f t="shared" si="14"/>
        <v>800830</v>
      </c>
      <c r="M99" s="4">
        <f t="shared" si="11"/>
        <v>640664</v>
      </c>
      <c r="N99" s="5">
        <f t="shared" si="15"/>
        <v>160166</v>
      </c>
    </row>
    <row r="100" spans="1:14" x14ac:dyDescent="0.35">
      <c r="A100" t="s">
        <v>136</v>
      </c>
      <c r="B100" s="7">
        <v>45383</v>
      </c>
      <c r="C100" s="2" t="s">
        <v>15</v>
      </c>
      <c r="D100" s="2" t="s">
        <v>26</v>
      </c>
      <c r="E100" s="2" t="s">
        <v>27</v>
      </c>
      <c r="F100" t="s">
        <v>21</v>
      </c>
      <c r="G100" s="2">
        <v>4</v>
      </c>
      <c r="H100" s="3">
        <f t="shared" si="10"/>
        <v>359000</v>
      </c>
      <c r="I100" s="4">
        <f t="shared" si="12"/>
        <v>28720</v>
      </c>
      <c r="J100" s="4">
        <f t="shared" si="13"/>
        <v>10770</v>
      </c>
      <c r="K100" s="4">
        <v>11151</v>
      </c>
      <c r="L100" s="4">
        <f t="shared" si="14"/>
        <v>1638564</v>
      </c>
      <c r="M100" s="4">
        <f t="shared" si="11"/>
        <v>1310851.2000000002</v>
      </c>
      <c r="N100" s="5">
        <f t="shared" si="15"/>
        <v>327712.79999999981</v>
      </c>
    </row>
    <row r="101" spans="1:14" x14ac:dyDescent="0.35">
      <c r="A101" t="s">
        <v>137</v>
      </c>
      <c r="B101" s="7">
        <v>45388</v>
      </c>
      <c r="C101" s="2" t="s">
        <v>15</v>
      </c>
      <c r="D101" s="2" t="s">
        <v>28</v>
      </c>
      <c r="E101" s="2" t="s">
        <v>29</v>
      </c>
      <c r="F101" t="s">
        <v>20</v>
      </c>
      <c r="G101" s="2">
        <v>3</v>
      </c>
      <c r="H101" s="3">
        <f t="shared" si="10"/>
        <v>345000</v>
      </c>
      <c r="I101" s="4">
        <f t="shared" si="12"/>
        <v>27600</v>
      </c>
      <c r="J101" s="4">
        <f t="shared" si="13"/>
        <v>10350</v>
      </c>
      <c r="K101" s="4">
        <v>22972</v>
      </c>
      <c r="L101" s="4">
        <f t="shared" si="14"/>
        <v>1217766</v>
      </c>
      <c r="M101" s="4">
        <f t="shared" si="11"/>
        <v>974212.8</v>
      </c>
      <c r="N101" s="5">
        <f t="shared" si="15"/>
        <v>243553.19999999995</v>
      </c>
    </row>
    <row r="102" spans="1:14" x14ac:dyDescent="0.35">
      <c r="A102" t="s">
        <v>138</v>
      </c>
      <c r="B102" s="7">
        <v>45580</v>
      </c>
      <c r="C102" s="2" t="s">
        <v>16</v>
      </c>
      <c r="D102" s="2" t="s">
        <v>30</v>
      </c>
      <c r="E102" s="2" t="s">
        <v>31</v>
      </c>
      <c r="F102" t="s">
        <v>21</v>
      </c>
      <c r="G102" s="2">
        <v>5</v>
      </c>
      <c r="H102" s="3">
        <f t="shared" si="10"/>
        <v>359000</v>
      </c>
      <c r="I102" s="4">
        <f t="shared" si="12"/>
        <v>28720</v>
      </c>
      <c r="J102" s="4">
        <f t="shared" si="13"/>
        <v>10770</v>
      </c>
      <c r="K102" s="4">
        <v>22039</v>
      </c>
      <c r="L102" s="4">
        <f t="shared" si="14"/>
        <v>2102645</v>
      </c>
      <c r="M102" s="4">
        <f t="shared" si="11"/>
        <v>1682116</v>
      </c>
      <c r="N102" s="5">
        <f t="shared" si="15"/>
        <v>420529</v>
      </c>
    </row>
    <row r="103" spans="1:14" x14ac:dyDescent="0.35">
      <c r="A103" t="s">
        <v>139</v>
      </c>
      <c r="B103" s="7">
        <v>45612</v>
      </c>
      <c r="C103" s="2" t="s">
        <v>16</v>
      </c>
      <c r="D103" s="2" t="s">
        <v>32</v>
      </c>
      <c r="E103" s="2" t="s">
        <v>33</v>
      </c>
      <c r="F103" t="s">
        <v>19</v>
      </c>
      <c r="G103" s="2">
        <v>5</v>
      </c>
      <c r="H103" s="3">
        <f t="shared" si="10"/>
        <v>319000</v>
      </c>
      <c r="I103" s="4">
        <f t="shared" si="12"/>
        <v>25520</v>
      </c>
      <c r="J103" s="4">
        <f t="shared" si="13"/>
        <v>9570</v>
      </c>
      <c r="K103" s="4">
        <v>15877</v>
      </c>
      <c r="L103" s="4">
        <f t="shared" si="14"/>
        <v>1849835</v>
      </c>
      <c r="M103" s="4">
        <f t="shared" si="11"/>
        <v>1479868</v>
      </c>
      <c r="N103" s="5">
        <f t="shared" si="15"/>
        <v>369967</v>
      </c>
    </row>
    <row r="104" spans="1:14" x14ac:dyDescent="0.35">
      <c r="A104" t="s">
        <v>140</v>
      </c>
      <c r="B104" s="7">
        <v>45376</v>
      </c>
      <c r="C104" s="2" t="s">
        <v>17</v>
      </c>
      <c r="D104" s="2" t="s">
        <v>34</v>
      </c>
      <c r="E104" s="2" t="s">
        <v>35</v>
      </c>
      <c r="F104" t="s">
        <v>21</v>
      </c>
      <c r="G104" s="2">
        <v>5</v>
      </c>
      <c r="H104" s="3">
        <f t="shared" si="10"/>
        <v>359000</v>
      </c>
      <c r="I104" s="4">
        <f t="shared" si="12"/>
        <v>28720</v>
      </c>
      <c r="J104" s="4">
        <f t="shared" si="13"/>
        <v>10770</v>
      </c>
      <c r="K104" s="4">
        <v>12157</v>
      </c>
      <c r="L104" s="4">
        <f t="shared" si="14"/>
        <v>2053235</v>
      </c>
      <c r="M104" s="4">
        <f t="shared" si="11"/>
        <v>1642588</v>
      </c>
      <c r="N104" s="5">
        <f t="shared" si="15"/>
        <v>410647</v>
      </c>
    </row>
    <row r="105" spans="1:14" x14ac:dyDescent="0.35">
      <c r="A105" t="s">
        <v>141</v>
      </c>
      <c r="B105" s="7">
        <v>45417</v>
      </c>
      <c r="C105" s="2" t="s">
        <v>18</v>
      </c>
      <c r="D105" s="2" t="s">
        <v>36</v>
      </c>
      <c r="E105" s="2" t="s">
        <v>37</v>
      </c>
      <c r="F105" t="s">
        <v>21</v>
      </c>
      <c r="G105" s="2">
        <v>2</v>
      </c>
      <c r="H105" s="3">
        <f t="shared" si="10"/>
        <v>359000</v>
      </c>
      <c r="I105" s="4">
        <f t="shared" si="12"/>
        <v>28720</v>
      </c>
      <c r="J105" s="4">
        <f t="shared" si="13"/>
        <v>10770</v>
      </c>
      <c r="K105" s="4">
        <v>16915</v>
      </c>
      <c r="L105" s="4">
        <f t="shared" si="14"/>
        <v>830810</v>
      </c>
      <c r="M105" s="4">
        <f t="shared" si="11"/>
        <v>664648</v>
      </c>
      <c r="N105" s="5">
        <f t="shared" si="15"/>
        <v>166162</v>
      </c>
    </row>
    <row r="106" spans="1:14" x14ac:dyDescent="0.35">
      <c r="A106" t="s">
        <v>142</v>
      </c>
      <c r="B106" s="7">
        <v>45653</v>
      </c>
      <c r="C106" s="2" t="s">
        <v>14</v>
      </c>
      <c r="D106" s="2" t="s">
        <v>22</v>
      </c>
      <c r="E106" s="2" t="s">
        <v>23</v>
      </c>
      <c r="F106" t="s">
        <v>19</v>
      </c>
      <c r="G106" s="2">
        <v>5</v>
      </c>
      <c r="H106" s="3">
        <f t="shared" si="10"/>
        <v>319000</v>
      </c>
      <c r="I106" s="4">
        <f t="shared" si="12"/>
        <v>25520</v>
      </c>
      <c r="J106" s="4">
        <f t="shared" si="13"/>
        <v>9570</v>
      </c>
      <c r="K106" s="4">
        <v>8025</v>
      </c>
      <c r="L106" s="4">
        <f t="shared" si="14"/>
        <v>1810575</v>
      </c>
      <c r="M106" s="4">
        <f t="shared" si="11"/>
        <v>1448460</v>
      </c>
      <c r="N106" s="5">
        <f t="shared" si="15"/>
        <v>362115</v>
      </c>
    </row>
    <row r="107" spans="1:14" x14ac:dyDescent="0.35">
      <c r="A107" t="s">
        <v>143</v>
      </c>
      <c r="B107" s="7">
        <v>45359</v>
      </c>
      <c r="C107" s="2" t="s">
        <v>14</v>
      </c>
      <c r="D107" s="2" t="s">
        <v>24</v>
      </c>
      <c r="E107" s="2" t="s">
        <v>25</v>
      </c>
      <c r="F107" t="s">
        <v>20</v>
      </c>
      <c r="G107" s="2">
        <v>4</v>
      </c>
      <c r="H107" s="3">
        <f t="shared" si="10"/>
        <v>345000</v>
      </c>
      <c r="I107" s="4">
        <f t="shared" si="12"/>
        <v>27600</v>
      </c>
      <c r="J107" s="4">
        <f t="shared" si="13"/>
        <v>10350</v>
      </c>
      <c r="K107" s="4">
        <v>8369</v>
      </c>
      <c r="L107" s="4">
        <f t="shared" si="14"/>
        <v>1565276</v>
      </c>
      <c r="M107" s="4">
        <f t="shared" si="11"/>
        <v>1252220.8</v>
      </c>
      <c r="N107" s="5">
        <f t="shared" si="15"/>
        <v>313055.19999999995</v>
      </c>
    </row>
    <row r="108" spans="1:14" x14ac:dyDescent="0.35">
      <c r="A108" t="s">
        <v>144</v>
      </c>
      <c r="B108" s="7">
        <v>45449</v>
      </c>
      <c r="C108" s="2" t="s">
        <v>15</v>
      </c>
      <c r="D108" s="2" t="s">
        <v>26</v>
      </c>
      <c r="E108" s="2" t="s">
        <v>27</v>
      </c>
      <c r="F108" t="s">
        <v>21</v>
      </c>
      <c r="G108" s="2">
        <v>2</v>
      </c>
      <c r="H108" s="3">
        <f t="shared" si="10"/>
        <v>359000</v>
      </c>
      <c r="I108" s="4">
        <f t="shared" si="12"/>
        <v>28720</v>
      </c>
      <c r="J108" s="4">
        <f t="shared" si="13"/>
        <v>10770</v>
      </c>
      <c r="K108" s="4">
        <v>14774</v>
      </c>
      <c r="L108" s="4">
        <f t="shared" si="14"/>
        <v>826528</v>
      </c>
      <c r="M108" s="4">
        <f t="shared" si="11"/>
        <v>661222.40000000002</v>
      </c>
      <c r="N108" s="5">
        <f t="shared" si="15"/>
        <v>165305.59999999998</v>
      </c>
    </row>
    <row r="109" spans="1:14" x14ac:dyDescent="0.35">
      <c r="A109" t="s">
        <v>145</v>
      </c>
      <c r="B109" s="7">
        <v>45584</v>
      </c>
      <c r="C109" s="2" t="s">
        <v>15</v>
      </c>
      <c r="D109" s="2" t="s">
        <v>28</v>
      </c>
      <c r="E109" s="2" t="s">
        <v>29</v>
      </c>
      <c r="F109" t="s">
        <v>20</v>
      </c>
      <c r="G109" s="2">
        <v>4</v>
      </c>
      <c r="H109" s="3">
        <f t="shared" si="10"/>
        <v>345000</v>
      </c>
      <c r="I109" s="4">
        <f t="shared" si="12"/>
        <v>27600</v>
      </c>
      <c r="J109" s="4">
        <f t="shared" si="13"/>
        <v>10350</v>
      </c>
      <c r="K109" s="4">
        <v>6286</v>
      </c>
      <c r="L109" s="4">
        <f t="shared" si="14"/>
        <v>1556944</v>
      </c>
      <c r="M109" s="4">
        <f t="shared" si="11"/>
        <v>1245555.2</v>
      </c>
      <c r="N109" s="5">
        <f t="shared" si="15"/>
        <v>311388.80000000005</v>
      </c>
    </row>
    <row r="110" spans="1:14" x14ac:dyDescent="0.35">
      <c r="A110" t="s">
        <v>146</v>
      </c>
      <c r="B110" s="7">
        <v>45635</v>
      </c>
      <c r="C110" s="2" t="s">
        <v>16</v>
      </c>
      <c r="D110" s="2" t="s">
        <v>30</v>
      </c>
      <c r="E110" s="2" t="s">
        <v>31</v>
      </c>
      <c r="F110" t="s">
        <v>21</v>
      </c>
      <c r="G110" s="2">
        <v>4</v>
      </c>
      <c r="H110" s="3">
        <f t="shared" si="10"/>
        <v>359000</v>
      </c>
      <c r="I110" s="4">
        <f t="shared" si="12"/>
        <v>28720</v>
      </c>
      <c r="J110" s="4">
        <f t="shared" si="13"/>
        <v>10770</v>
      </c>
      <c r="K110" s="4">
        <v>11535</v>
      </c>
      <c r="L110" s="4">
        <f t="shared" si="14"/>
        <v>1640100</v>
      </c>
      <c r="M110" s="4">
        <f t="shared" si="11"/>
        <v>1312080</v>
      </c>
      <c r="N110" s="5">
        <f t="shared" si="15"/>
        <v>328020</v>
      </c>
    </row>
    <row r="111" spans="1:14" x14ac:dyDescent="0.35">
      <c r="A111" t="s">
        <v>147</v>
      </c>
      <c r="B111" s="7">
        <v>45444</v>
      </c>
      <c r="C111" s="2" t="s">
        <v>16</v>
      </c>
      <c r="D111" s="2" t="s">
        <v>32</v>
      </c>
      <c r="E111" s="2" t="s">
        <v>33</v>
      </c>
      <c r="F111" t="s">
        <v>19</v>
      </c>
      <c r="G111" s="2">
        <v>1</v>
      </c>
      <c r="H111" s="3">
        <f t="shared" si="10"/>
        <v>319000</v>
      </c>
      <c r="I111" s="4">
        <f t="shared" si="12"/>
        <v>25520</v>
      </c>
      <c r="J111" s="4">
        <f t="shared" si="13"/>
        <v>9570</v>
      </c>
      <c r="K111" s="4">
        <v>13173</v>
      </c>
      <c r="L111" s="4">
        <f t="shared" si="14"/>
        <v>367263</v>
      </c>
      <c r="M111" s="4">
        <f t="shared" si="11"/>
        <v>293810.40000000002</v>
      </c>
      <c r="N111" s="5">
        <f t="shared" si="15"/>
        <v>73452.599999999977</v>
      </c>
    </row>
    <row r="112" spans="1:14" x14ac:dyDescent="0.35">
      <c r="A112" t="s">
        <v>148</v>
      </c>
      <c r="B112" s="7">
        <v>45456</v>
      </c>
      <c r="C112" s="2" t="s">
        <v>17</v>
      </c>
      <c r="D112" s="2" t="s">
        <v>34</v>
      </c>
      <c r="E112" s="2" t="s">
        <v>35</v>
      </c>
      <c r="F112" t="s">
        <v>21</v>
      </c>
      <c r="G112" s="2">
        <v>2</v>
      </c>
      <c r="H112" s="3">
        <f t="shared" si="10"/>
        <v>359000</v>
      </c>
      <c r="I112" s="4">
        <f t="shared" si="12"/>
        <v>28720</v>
      </c>
      <c r="J112" s="4">
        <f t="shared" si="13"/>
        <v>10770</v>
      </c>
      <c r="K112" s="4">
        <v>14556</v>
      </c>
      <c r="L112" s="4">
        <f t="shared" si="14"/>
        <v>826092</v>
      </c>
      <c r="M112" s="4">
        <f t="shared" si="11"/>
        <v>660873.60000000009</v>
      </c>
      <c r="N112" s="5">
        <f t="shared" si="15"/>
        <v>165218.39999999991</v>
      </c>
    </row>
    <row r="113" spans="1:14" x14ac:dyDescent="0.35">
      <c r="A113" t="s">
        <v>149</v>
      </c>
      <c r="B113" s="7">
        <v>45294</v>
      </c>
      <c r="C113" s="2" t="s">
        <v>18</v>
      </c>
      <c r="D113" s="2" t="s">
        <v>36</v>
      </c>
      <c r="E113" s="2" t="s">
        <v>37</v>
      </c>
      <c r="F113" t="s">
        <v>21</v>
      </c>
      <c r="G113" s="2">
        <v>2</v>
      </c>
      <c r="H113" s="3">
        <f t="shared" si="10"/>
        <v>359000</v>
      </c>
      <c r="I113" s="4">
        <f t="shared" si="12"/>
        <v>28720</v>
      </c>
      <c r="J113" s="4">
        <f t="shared" si="13"/>
        <v>10770</v>
      </c>
      <c r="K113" s="4">
        <v>24562</v>
      </c>
      <c r="L113" s="4">
        <f t="shared" si="14"/>
        <v>846104</v>
      </c>
      <c r="M113" s="4">
        <f t="shared" si="11"/>
        <v>676883.20000000007</v>
      </c>
      <c r="N113" s="5">
        <f t="shared" si="15"/>
        <v>169220.79999999993</v>
      </c>
    </row>
    <row r="114" spans="1:14" x14ac:dyDescent="0.35">
      <c r="A114" t="s">
        <v>150</v>
      </c>
      <c r="B114" s="7">
        <v>45514</v>
      </c>
      <c r="C114" s="2" t="s">
        <v>14</v>
      </c>
      <c r="D114" s="2" t="s">
        <v>22</v>
      </c>
      <c r="E114" s="2" t="s">
        <v>23</v>
      </c>
      <c r="F114" t="s">
        <v>19</v>
      </c>
      <c r="G114" s="2">
        <v>3</v>
      </c>
      <c r="H114" s="3">
        <f t="shared" si="10"/>
        <v>319000</v>
      </c>
      <c r="I114" s="4">
        <f t="shared" si="12"/>
        <v>25520</v>
      </c>
      <c r="J114" s="4">
        <f t="shared" si="13"/>
        <v>9570</v>
      </c>
      <c r="K114" s="4">
        <v>16468</v>
      </c>
      <c r="L114" s="4">
        <f t="shared" si="14"/>
        <v>1111674</v>
      </c>
      <c r="M114" s="4">
        <f t="shared" si="11"/>
        <v>889339.20000000007</v>
      </c>
      <c r="N114" s="5">
        <f t="shared" si="15"/>
        <v>222334.79999999993</v>
      </c>
    </row>
    <row r="115" spans="1:14" x14ac:dyDescent="0.35">
      <c r="A115" t="s">
        <v>151</v>
      </c>
      <c r="B115" s="7">
        <v>45568</v>
      </c>
      <c r="C115" s="2" t="s">
        <v>14</v>
      </c>
      <c r="D115" s="2" t="s">
        <v>24</v>
      </c>
      <c r="E115" s="2" t="s">
        <v>25</v>
      </c>
      <c r="F115" t="s">
        <v>20</v>
      </c>
      <c r="G115" s="2">
        <v>1</v>
      </c>
      <c r="H115" s="3">
        <f t="shared" si="10"/>
        <v>345000</v>
      </c>
      <c r="I115" s="4">
        <f t="shared" si="12"/>
        <v>27600</v>
      </c>
      <c r="J115" s="4">
        <f t="shared" si="13"/>
        <v>10350</v>
      </c>
      <c r="K115" s="4">
        <v>13293</v>
      </c>
      <c r="L115" s="4">
        <f t="shared" si="14"/>
        <v>396243</v>
      </c>
      <c r="M115" s="4">
        <f t="shared" si="11"/>
        <v>316994.40000000002</v>
      </c>
      <c r="N115" s="5">
        <f t="shared" si="15"/>
        <v>79248.599999999977</v>
      </c>
    </row>
    <row r="116" spans="1:14" x14ac:dyDescent="0.35">
      <c r="A116" t="s">
        <v>152</v>
      </c>
      <c r="B116" s="7">
        <v>45309</v>
      </c>
      <c r="C116" s="2" t="s">
        <v>15</v>
      </c>
      <c r="D116" s="2" t="s">
        <v>26</v>
      </c>
      <c r="E116" s="2" t="s">
        <v>27</v>
      </c>
      <c r="F116" t="s">
        <v>21</v>
      </c>
      <c r="G116" s="2">
        <v>4</v>
      </c>
      <c r="H116" s="3">
        <f t="shared" si="10"/>
        <v>359000</v>
      </c>
      <c r="I116" s="4">
        <f t="shared" si="12"/>
        <v>28720</v>
      </c>
      <c r="J116" s="4">
        <f t="shared" si="13"/>
        <v>10770</v>
      </c>
      <c r="K116" s="4">
        <v>6097</v>
      </c>
      <c r="L116" s="4">
        <f t="shared" si="14"/>
        <v>1618348</v>
      </c>
      <c r="M116" s="4">
        <f t="shared" si="11"/>
        <v>1294678.4000000001</v>
      </c>
      <c r="N116" s="5">
        <f t="shared" si="15"/>
        <v>323669.59999999986</v>
      </c>
    </row>
    <row r="117" spans="1:14" x14ac:dyDescent="0.35">
      <c r="A117" t="s">
        <v>153</v>
      </c>
      <c r="B117" s="7">
        <v>45623</v>
      </c>
      <c r="C117" s="2" t="s">
        <v>15</v>
      </c>
      <c r="D117" s="2" t="s">
        <v>28</v>
      </c>
      <c r="E117" s="2" t="s">
        <v>29</v>
      </c>
      <c r="F117" t="s">
        <v>20</v>
      </c>
      <c r="G117" s="2">
        <v>5</v>
      </c>
      <c r="H117" s="3">
        <f t="shared" si="10"/>
        <v>345000</v>
      </c>
      <c r="I117" s="4">
        <f t="shared" si="12"/>
        <v>27600</v>
      </c>
      <c r="J117" s="4">
        <f t="shared" si="13"/>
        <v>10350</v>
      </c>
      <c r="K117" s="4">
        <v>15381</v>
      </c>
      <c r="L117" s="4">
        <f t="shared" si="14"/>
        <v>1991655</v>
      </c>
      <c r="M117" s="4">
        <f t="shared" si="11"/>
        <v>1593324</v>
      </c>
      <c r="N117" s="5">
        <f t="shared" si="15"/>
        <v>398331</v>
      </c>
    </row>
    <row r="118" spans="1:14" x14ac:dyDescent="0.35">
      <c r="A118" t="s">
        <v>154</v>
      </c>
      <c r="B118" s="7">
        <v>45323</v>
      </c>
      <c r="C118" s="2" t="s">
        <v>16</v>
      </c>
      <c r="D118" s="2" t="s">
        <v>30</v>
      </c>
      <c r="E118" s="2" t="s">
        <v>31</v>
      </c>
      <c r="F118" t="s">
        <v>21</v>
      </c>
      <c r="G118" s="2">
        <v>4</v>
      </c>
      <c r="H118" s="3">
        <f t="shared" si="10"/>
        <v>359000</v>
      </c>
      <c r="I118" s="4">
        <f t="shared" si="12"/>
        <v>28720</v>
      </c>
      <c r="J118" s="4">
        <f t="shared" si="13"/>
        <v>10770</v>
      </c>
      <c r="K118" s="4">
        <v>19935</v>
      </c>
      <c r="L118" s="4">
        <f t="shared" si="14"/>
        <v>1673700</v>
      </c>
      <c r="M118" s="4">
        <f t="shared" si="11"/>
        <v>1338960</v>
      </c>
      <c r="N118" s="5">
        <f t="shared" si="15"/>
        <v>334740</v>
      </c>
    </row>
    <row r="119" spans="1:14" x14ac:dyDescent="0.35">
      <c r="A119" t="s">
        <v>155</v>
      </c>
      <c r="B119" s="7">
        <v>45606</v>
      </c>
      <c r="C119" s="2" t="s">
        <v>16</v>
      </c>
      <c r="D119" s="2" t="s">
        <v>32</v>
      </c>
      <c r="E119" s="2" t="s">
        <v>33</v>
      </c>
      <c r="F119" t="s">
        <v>19</v>
      </c>
      <c r="G119" s="2">
        <v>4</v>
      </c>
      <c r="H119" s="3">
        <f t="shared" si="10"/>
        <v>319000</v>
      </c>
      <c r="I119" s="4">
        <f t="shared" si="12"/>
        <v>25520</v>
      </c>
      <c r="J119" s="4">
        <f t="shared" si="13"/>
        <v>9570</v>
      </c>
      <c r="K119" s="4">
        <v>20715</v>
      </c>
      <c r="L119" s="4">
        <f t="shared" si="14"/>
        <v>1499220</v>
      </c>
      <c r="M119" s="4">
        <f t="shared" si="11"/>
        <v>1199376</v>
      </c>
      <c r="N119" s="5">
        <f t="shared" si="15"/>
        <v>299844</v>
      </c>
    </row>
    <row r="120" spans="1:14" x14ac:dyDescent="0.35">
      <c r="A120" t="s">
        <v>156</v>
      </c>
      <c r="B120" s="7">
        <v>45302</v>
      </c>
      <c r="C120" s="2" t="s">
        <v>17</v>
      </c>
      <c r="D120" s="2" t="s">
        <v>34</v>
      </c>
      <c r="E120" s="2" t="s">
        <v>35</v>
      </c>
      <c r="F120" t="s">
        <v>21</v>
      </c>
      <c r="G120" s="2">
        <v>2</v>
      </c>
      <c r="H120" s="3">
        <f t="shared" si="10"/>
        <v>359000</v>
      </c>
      <c r="I120" s="4">
        <f t="shared" si="12"/>
        <v>28720</v>
      </c>
      <c r="J120" s="4">
        <f t="shared" si="13"/>
        <v>10770</v>
      </c>
      <c r="K120" s="4">
        <v>12791</v>
      </c>
      <c r="L120" s="4">
        <f t="shared" si="14"/>
        <v>822562</v>
      </c>
      <c r="M120" s="4">
        <f t="shared" si="11"/>
        <v>658049.60000000009</v>
      </c>
      <c r="N120" s="5">
        <f t="shared" si="15"/>
        <v>164512.39999999991</v>
      </c>
    </row>
    <row r="121" spans="1:14" x14ac:dyDescent="0.35">
      <c r="A121" t="s">
        <v>157</v>
      </c>
      <c r="B121" s="7">
        <v>45348</v>
      </c>
      <c r="C121" s="2" t="s">
        <v>18</v>
      </c>
      <c r="D121" s="2" t="s">
        <v>36</v>
      </c>
      <c r="E121" s="2" t="s">
        <v>37</v>
      </c>
      <c r="F121" t="s">
        <v>21</v>
      </c>
      <c r="G121" s="2">
        <v>5</v>
      </c>
      <c r="H121" s="3">
        <f t="shared" si="10"/>
        <v>359000</v>
      </c>
      <c r="I121" s="4">
        <f t="shared" si="12"/>
        <v>28720</v>
      </c>
      <c r="J121" s="4">
        <f t="shared" si="13"/>
        <v>10770</v>
      </c>
      <c r="K121" s="4">
        <v>5483</v>
      </c>
      <c r="L121" s="4">
        <f t="shared" si="14"/>
        <v>2019865</v>
      </c>
      <c r="M121" s="4">
        <f t="shared" si="11"/>
        <v>1615892</v>
      </c>
      <c r="N121" s="5">
        <f t="shared" si="15"/>
        <v>403973</v>
      </c>
    </row>
    <row r="122" spans="1:14" x14ac:dyDescent="0.35">
      <c r="A122" t="s">
        <v>158</v>
      </c>
      <c r="B122" s="7">
        <v>45323</v>
      </c>
      <c r="C122" s="2" t="s">
        <v>14</v>
      </c>
      <c r="D122" s="2" t="s">
        <v>22</v>
      </c>
      <c r="E122" s="2" t="s">
        <v>23</v>
      </c>
      <c r="F122" t="s">
        <v>19</v>
      </c>
      <c r="G122" s="2">
        <v>2</v>
      </c>
      <c r="H122" s="3">
        <f t="shared" si="10"/>
        <v>319000</v>
      </c>
      <c r="I122" s="4">
        <f t="shared" si="12"/>
        <v>25520</v>
      </c>
      <c r="J122" s="4">
        <f t="shared" si="13"/>
        <v>9570</v>
      </c>
      <c r="K122" s="4">
        <v>22519</v>
      </c>
      <c r="L122" s="4">
        <f t="shared" si="14"/>
        <v>753218</v>
      </c>
      <c r="M122" s="4">
        <f t="shared" si="11"/>
        <v>602574.4</v>
      </c>
      <c r="N122" s="5">
        <f t="shared" si="15"/>
        <v>150643.59999999998</v>
      </c>
    </row>
    <row r="123" spans="1:14" x14ac:dyDescent="0.35">
      <c r="A123" t="s">
        <v>159</v>
      </c>
      <c r="B123" s="7">
        <v>45364</v>
      </c>
      <c r="C123" s="2" t="s">
        <v>14</v>
      </c>
      <c r="D123" s="2" t="s">
        <v>24</v>
      </c>
      <c r="E123" s="2" t="s">
        <v>25</v>
      </c>
      <c r="F123" t="s">
        <v>20</v>
      </c>
      <c r="G123" s="2">
        <v>1</v>
      </c>
      <c r="H123" s="3">
        <f t="shared" si="10"/>
        <v>345000</v>
      </c>
      <c r="I123" s="4">
        <f t="shared" si="12"/>
        <v>27600</v>
      </c>
      <c r="J123" s="4">
        <f t="shared" si="13"/>
        <v>10350</v>
      </c>
      <c r="K123" s="4">
        <v>18592</v>
      </c>
      <c r="L123" s="4">
        <f t="shared" si="14"/>
        <v>401542</v>
      </c>
      <c r="M123" s="4">
        <f t="shared" si="11"/>
        <v>321233.60000000003</v>
      </c>
      <c r="N123" s="5">
        <f t="shared" si="15"/>
        <v>80308.399999999965</v>
      </c>
    </row>
    <row r="124" spans="1:14" x14ac:dyDescent="0.35">
      <c r="A124" t="s">
        <v>160</v>
      </c>
      <c r="B124" s="7">
        <v>45390</v>
      </c>
      <c r="C124" s="2" t="s">
        <v>15</v>
      </c>
      <c r="D124" s="2" t="s">
        <v>26</v>
      </c>
      <c r="E124" s="2" t="s">
        <v>27</v>
      </c>
      <c r="F124" t="s">
        <v>21</v>
      </c>
      <c r="G124" s="2">
        <v>5</v>
      </c>
      <c r="H124" s="3">
        <f t="shared" si="10"/>
        <v>359000</v>
      </c>
      <c r="I124" s="4">
        <f t="shared" si="12"/>
        <v>28720</v>
      </c>
      <c r="J124" s="4">
        <f t="shared" si="13"/>
        <v>10770</v>
      </c>
      <c r="K124" s="4">
        <v>20399</v>
      </c>
      <c r="L124" s="4">
        <f t="shared" si="14"/>
        <v>2094445</v>
      </c>
      <c r="M124" s="4">
        <f t="shared" si="11"/>
        <v>1675556</v>
      </c>
      <c r="N124" s="5">
        <f t="shared" si="15"/>
        <v>418889</v>
      </c>
    </row>
    <row r="125" spans="1:14" x14ac:dyDescent="0.35">
      <c r="A125" t="s">
        <v>161</v>
      </c>
      <c r="B125" s="7">
        <v>45489</v>
      </c>
      <c r="C125" s="2" t="s">
        <v>15</v>
      </c>
      <c r="D125" s="2" t="s">
        <v>28</v>
      </c>
      <c r="E125" s="2" t="s">
        <v>29</v>
      </c>
      <c r="F125" t="s">
        <v>20</v>
      </c>
      <c r="G125" s="2">
        <v>4</v>
      </c>
      <c r="H125" s="3">
        <f t="shared" si="10"/>
        <v>345000</v>
      </c>
      <c r="I125" s="4">
        <f t="shared" si="12"/>
        <v>27600</v>
      </c>
      <c r="J125" s="4">
        <f t="shared" si="13"/>
        <v>10350</v>
      </c>
      <c r="K125" s="4">
        <v>15230</v>
      </c>
      <c r="L125" s="4">
        <f t="shared" si="14"/>
        <v>1592720</v>
      </c>
      <c r="M125" s="4">
        <f t="shared" si="11"/>
        <v>1274176</v>
      </c>
      <c r="N125" s="5">
        <f t="shared" si="15"/>
        <v>318544</v>
      </c>
    </row>
    <row r="126" spans="1:14" x14ac:dyDescent="0.35">
      <c r="A126" t="s">
        <v>162</v>
      </c>
      <c r="B126" s="7">
        <v>45553</v>
      </c>
      <c r="C126" s="2" t="s">
        <v>16</v>
      </c>
      <c r="D126" s="2" t="s">
        <v>30</v>
      </c>
      <c r="E126" s="2" t="s">
        <v>31</v>
      </c>
      <c r="F126" t="s">
        <v>21</v>
      </c>
      <c r="G126" s="2">
        <v>4</v>
      </c>
      <c r="H126" s="3">
        <f t="shared" si="10"/>
        <v>359000</v>
      </c>
      <c r="I126" s="4">
        <f t="shared" si="12"/>
        <v>28720</v>
      </c>
      <c r="J126" s="4">
        <f t="shared" si="13"/>
        <v>10770</v>
      </c>
      <c r="K126" s="4">
        <v>5340</v>
      </c>
      <c r="L126" s="4">
        <f t="shared" si="14"/>
        <v>1615320</v>
      </c>
      <c r="M126" s="4">
        <f t="shared" si="11"/>
        <v>1292256</v>
      </c>
      <c r="N126" s="5">
        <f t="shared" si="15"/>
        <v>323064</v>
      </c>
    </row>
    <row r="127" spans="1:14" x14ac:dyDescent="0.35">
      <c r="A127" t="s">
        <v>163</v>
      </c>
      <c r="B127" s="7">
        <v>45418</v>
      </c>
      <c r="C127" s="2" t="s">
        <v>16</v>
      </c>
      <c r="D127" s="2" t="s">
        <v>32</v>
      </c>
      <c r="E127" s="2" t="s">
        <v>33</v>
      </c>
      <c r="F127" t="s">
        <v>19</v>
      </c>
      <c r="G127" s="2">
        <v>2</v>
      </c>
      <c r="H127" s="3">
        <f t="shared" si="10"/>
        <v>319000</v>
      </c>
      <c r="I127" s="4">
        <f t="shared" si="12"/>
        <v>25520</v>
      </c>
      <c r="J127" s="4">
        <f t="shared" si="13"/>
        <v>9570</v>
      </c>
      <c r="K127" s="4">
        <v>8135</v>
      </c>
      <c r="L127" s="4">
        <f t="shared" si="14"/>
        <v>724450</v>
      </c>
      <c r="M127" s="4">
        <f t="shared" si="11"/>
        <v>579560</v>
      </c>
      <c r="N127" s="5">
        <f t="shared" si="15"/>
        <v>144890</v>
      </c>
    </row>
    <row r="128" spans="1:14" x14ac:dyDescent="0.35">
      <c r="A128" t="s">
        <v>164</v>
      </c>
      <c r="B128" s="7">
        <v>45510</v>
      </c>
      <c r="C128" s="2" t="s">
        <v>17</v>
      </c>
      <c r="D128" s="2" t="s">
        <v>34</v>
      </c>
      <c r="E128" s="2" t="s">
        <v>35</v>
      </c>
      <c r="F128" t="s">
        <v>21</v>
      </c>
      <c r="G128" s="2">
        <v>1</v>
      </c>
      <c r="H128" s="3">
        <f t="shared" si="10"/>
        <v>359000</v>
      </c>
      <c r="I128" s="4">
        <f t="shared" si="12"/>
        <v>28720</v>
      </c>
      <c r="J128" s="4">
        <f t="shared" si="13"/>
        <v>10770</v>
      </c>
      <c r="K128" s="4">
        <v>12500</v>
      </c>
      <c r="L128" s="4">
        <f t="shared" si="14"/>
        <v>410990</v>
      </c>
      <c r="M128" s="4">
        <f t="shared" si="11"/>
        <v>328792</v>
      </c>
      <c r="N128" s="5">
        <f t="shared" si="15"/>
        <v>82198</v>
      </c>
    </row>
    <row r="129" spans="1:14" x14ac:dyDescent="0.35">
      <c r="A129" t="s">
        <v>165</v>
      </c>
      <c r="B129" s="7">
        <v>45554</v>
      </c>
      <c r="C129" s="2" t="s">
        <v>18</v>
      </c>
      <c r="D129" s="2" t="s">
        <v>36</v>
      </c>
      <c r="E129" s="2" t="s">
        <v>37</v>
      </c>
      <c r="F129" t="s">
        <v>21</v>
      </c>
      <c r="G129" s="2">
        <v>4</v>
      </c>
      <c r="H129" s="3">
        <f t="shared" si="10"/>
        <v>359000</v>
      </c>
      <c r="I129" s="4">
        <f t="shared" si="12"/>
        <v>28720</v>
      </c>
      <c r="J129" s="4">
        <f t="shared" si="13"/>
        <v>10770</v>
      </c>
      <c r="K129" s="4">
        <v>22022</v>
      </c>
      <c r="L129" s="4">
        <f t="shared" si="14"/>
        <v>1682048</v>
      </c>
      <c r="M129" s="4">
        <f t="shared" si="11"/>
        <v>1345638.4000000001</v>
      </c>
      <c r="N129" s="5">
        <f t="shared" si="15"/>
        <v>336409.59999999986</v>
      </c>
    </row>
    <row r="130" spans="1:14" x14ac:dyDescent="0.35">
      <c r="A130" t="s">
        <v>166</v>
      </c>
      <c r="B130" s="7">
        <v>45496</v>
      </c>
      <c r="C130" s="2" t="s">
        <v>14</v>
      </c>
      <c r="D130" s="2" t="s">
        <v>22</v>
      </c>
      <c r="E130" s="2" t="s">
        <v>23</v>
      </c>
      <c r="F130" t="s">
        <v>19</v>
      </c>
      <c r="G130" s="2">
        <v>2</v>
      </c>
      <c r="H130" s="3">
        <f t="shared" ref="H130:H193" si="16">IF(TRIM(F130)="Standard",319000,IF(TRIM(F130)="Custom",345000,IF(TRIM(F130)="Chrome",359000,"")))</f>
        <v>319000</v>
      </c>
      <c r="I130" s="4">
        <f t="shared" si="12"/>
        <v>25520</v>
      </c>
      <c r="J130" s="4">
        <f t="shared" si="13"/>
        <v>9570</v>
      </c>
      <c r="K130" s="4">
        <v>23800</v>
      </c>
      <c r="L130" s="4">
        <f t="shared" si="14"/>
        <v>755780</v>
      </c>
      <c r="M130" s="4">
        <f t="shared" si="11"/>
        <v>604624</v>
      </c>
      <c r="N130" s="5">
        <f t="shared" si="15"/>
        <v>151156</v>
      </c>
    </row>
    <row r="131" spans="1:14" x14ac:dyDescent="0.35">
      <c r="A131" t="s">
        <v>167</v>
      </c>
      <c r="B131" s="7">
        <v>45312</v>
      </c>
      <c r="C131" s="2" t="s">
        <v>14</v>
      </c>
      <c r="D131" s="2" t="s">
        <v>24</v>
      </c>
      <c r="E131" s="2" t="s">
        <v>25</v>
      </c>
      <c r="F131" t="s">
        <v>20</v>
      </c>
      <c r="G131" s="2">
        <v>4</v>
      </c>
      <c r="H131" s="3">
        <f t="shared" si="16"/>
        <v>345000</v>
      </c>
      <c r="I131" s="4">
        <f t="shared" si="12"/>
        <v>27600</v>
      </c>
      <c r="J131" s="4">
        <f t="shared" si="13"/>
        <v>10350</v>
      </c>
      <c r="K131" s="4">
        <v>22000</v>
      </c>
      <c r="L131" s="4">
        <f t="shared" si="14"/>
        <v>1619800</v>
      </c>
      <c r="M131" s="4">
        <f t="shared" ref="M131:M194" si="17">L131*0.8</f>
        <v>1295840</v>
      </c>
      <c r="N131" s="5">
        <f t="shared" si="15"/>
        <v>323960</v>
      </c>
    </row>
    <row r="132" spans="1:14" x14ac:dyDescent="0.35">
      <c r="A132" t="s">
        <v>168</v>
      </c>
      <c r="B132" s="7">
        <v>45360</v>
      </c>
      <c r="C132" s="2" t="s">
        <v>15</v>
      </c>
      <c r="D132" s="2" t="s">
        <v>26</v>
      </c>
      <c r="E132" s="2" t="s">
        <v>27</v>
      </c>
      <c r="F132" t="s">
        <v>21</v>
      </c>
      <c r="G132" s="2">
        <v>1</v>
      </c>
      <c r="H132" s="3">
        <f t="shared" si="16"/>
        <v>359000</v>
      </c>
      <c r="I132" s="4">
        <f t="shared" si="12"/>
        <v>28720</v>
      </c>
      <c r="J132" s="4">
        <f t="shared" si="13"/>
        <v>10770</v>
      </c>
      <c r="K132" s="4">
        <v>12109</v>
      </c>
      <c r="L132" s="4">
        <f t="shared" si="14"/>
        <v>410599</v>
      </c>
      <c r="M132" s="4">
        <f t="shared" si="17"/>
        <v>328479.2</v>
      </c>
      <c r="N132" s="5">
        <f t="shared" si="15"/>
        <v>82119.799999999988</v>
      </c>
    </row>
    <row r="133" spans="1:14" x14ac:dyDescent="0.35">
      <c r="A133" t="s">
        <v>169</v>
      </c>
      <c r="B133" s="7">
        <v>45484</v>
      </c>
      <c r="C133" s="2" t="s">
        <v>15</v>
      </c>
      <c r="D133" s="2" t="s">
        <v>28</v>
      </c>
      <c r="E133" s="2" t="s">
        <v>29</v>
      </c>
      <c r="F133" t="s">
        <v>20</v>
      </c>
      <c r="G133" s="2">
        <v>3</v>
      </c>
      <c r="H133" s="3">
        <f t="shared" si="16"/>
        <v>345000</v>
      </c>
      <c r="I133" s="4">
        <f t="shared" si="12"/>
        <v>27600</v>
      </c>
      <c r="J133" s="4">
        <f t="shared" si="13"/>
        <v>10350</v>
      </c>
      <c r="K133" s="4">
        <v>23906</v>
      </c>
      <c r="L133" s="4">
        <f t="shared" si="14"/>
        <v>1220568</v>
      </c>
      <c r="M133" s="4">
        <f t="shared" si="17"/>
        <v>976454.4</v>
      </c>
      <c r="N133" s="5">
        <f t="shared" si="15"/>
        <v>244113.59999999998</v>
      </c>
    </row>
    <row r="134" spans="1:14" x14ac:dyDescent="0.35">
      <c r="A134" t="s">
        <v>170</v>
      </c>
      <c r="B134" s="7">
        <v>45424</v>
      </c>
      <c r="C134" s="2" t="s">
        <v>16</v>
      </c>
      <c r="D134" s="2" t="s">
        <v>30</v>
      </c>
      <c r="E134" s="2" t="s">
        <v>31</v>
      </c>
      <c r="F134" t="s">
        <v>21</v>
      </c>
      <c r="G134" s="2">
        <v>3</v>
      </c>
      <c r="H134" s="3">
        <f t="shared" si="16"/>
        <v>359000</v>
      </c>
      <c r="I134" s="4">
        <f t="shared" si="12"/>
        <v>28720</v>
      </c>
      <c r="J134" s="4">
        <f t="shared" si="13"/>
        <v>10770</v>
      </c>
      <c r="K134" s="4">
        <v>14497</v>
      </c>
      <c r="L134" s="4">
        <f t="shared" si="14"/>
        <v>1238961</v>
      </c>
      <c r="M134" s="4">
        <f t="shared" si="17"/>
        <v>991168.8</v>
      </c>
      <c r="N134" s="5">
        <f t="shared" si="15"/>
        <v>247792.19999999995</v>
      </c>
    </row>
    <row r="135" spans="1:14" x14ac:dyDescent="0.35">
      <c r="A135" t="s">
        <v>171</v>
      </c>
      <c r="B135" s="7">
        <v>45636</v>
      </c>
      <c r="C135" s="2" t="s">
        <v>16</v>
      </c>
      <c r="D135" s="2" t="s">
        <v>32</v>
      </c>
      <c r="E135" s="2" t="s">
        <v>33</v>
      </c>
      <c r="F135" t="s">
        <v>19</v>
      </c>
      <c r="G135" s="2">
        <v>4</v>
      </c>
      <c r="H135" s="3">
        <f t="shared" si="16"/>
        <v>319000</v>
      </c>
      <c r="I135" s="4">
        <f t="shared" si="12"/>
        <v>25520</v>
      </c>
      <c r="J135" s="4">
        <f t="shared" si="13"/>
        <v>9570</v>
      </c>
      <c r="K135" s="4">
        <v>21924</v>
      </c>
      <c r="L135" s="4">
        <f t="shared" si="14"/>
        <v>1504056</v>
      </c>
      <c r="M135" s="4">
        <f t="shared" si="17"/>
        <v>1203244.8</v>
      </c>
      <c r="N135" s="5">
        <f t="shared" si="15"/>
        <v>300811.19999999995</v>
      </c>
    </row>
    <row r="136" spans="1:14" x14ac:dyDescent="0.35">
      <c r="A136" t="s">
        <v>172</v>
      </c>
      <c r="B136" s="7">
        <v>45523</v>
      </c>
      <c r="C136" s="2" t="s">
        <v>17</v>
      </c>
      <c r="D136" s="2" t="s">
        <v>34</v>
      </c>
      <c r="E136" s="2" t="s">
        <v>35</v>
      </c>
      <c r="F136" t="s">
        <v>21</v>
      </c>
      <c r="G136" s="2">
        <v>5</v>
      </c>
      <c r="H136" s="3">
        <f t="shared" si="16"/>
        <v>359000</v>
      </c>
      <c r="I136" s="4">
        <f t="shared" si="12"/>
        <v>28720</v>
      </c>
      <c r="J136" s="4">
        <f t="shared" si="13"/>
        <v>10770</v>
      </c>
      <c r="K136" s="4">
        <v>11553</v>
      </c>
      <c r="L136" s="4">
        <f t="shared" si="14"/>
        <v>2050215</v>
      </c>
      <c r="M136" s="4">
        <f t="shared" si="17"/>
        <v>1640172</v>
      </c>
      <c r="N136" s="5">
        <f t="shared" si="15"/>
        <v>410043</v>
      </c>
    </row>
    <row r="137" spans="1:14" x14ac:dyDescent="0.35">
      <c r="A137" t="s">
        <v>173</v>
      </c>
      <c r="B137" s="7">
        <v>45635</v>
      </c>
      <c r="C137" s="2" t="s">
        <v>18</v>
      </c>
      <c r="D137" s="2" t="s">
        <v>36</v>
      </c>
      <c r="E137" s="2" t="s">
        <v>37</v>
      </c>
      <c r="F137" t="s">
        <v>21</v>
      </c>
      <c r="G137" s="2">
        <v>3</v>
      </c>
      <c r="H137" s="3">
        <f t="shared" si="16"/>
        <v>359000</v>
      </c>
      <c r="I137" s="4">
        <f t="shared" si="12"/>
        <v>28720</v>
      </c>
      <c r="J137" s="4">
        <f t="shared" si="13"/>
        <v>10770</v>
      </c>
      <c r="K137" s="4">
        <v>15539</v>
      </c>
      <c r="L137" s="4">
        <f t="shared" si="14"/>
        <v>1242087</v>
      </c>
      <c r="M137" s="4">
        <f t="shared" si="17"/>
        <v>993669.60000000009</v>
      </c>
      <c r="N137" s="5">
        <f t="shared" si="15"/>
        <v>248417.39999999991</v>
      </c>
    </row>
    <row r="138" spans="1:14" x14ac:dyDescent="0.35">
      <c r="A138" t="s">
        <v>174</v>
      </c>
      <c r="B138" s="7">
        <v>45536</v>
      </c>
      <c r="C138" s="2" t="s">
        <v>14</v>
      </c>
      <c r="D138" s="2" t="s">
        <v>22</v>
      </c>
      <c r="E138" s="2" t="s">
        <v>23</v>
      </c>
      <c r="F138" t="s">
        <v>19</v>
      </c>
      <c r="G138" s="2">
        <v>3</v>
      </c>
      <c r="H138" s="3">
        <f t="shared" si="16"/>
        <v>319000</v>
      </c>
      <c r="I138" s="4">
        <f t="shared" ref="I138:I201" si="18">H138*0.08</f>
        <v>25520</v>
      </c>
      <c r="J138" s="4">
        <f t="shared" ref="J138:J201" si="19">H138*0.03</f>
        <v>9570</v>
      </c>
      <c r="K138" s="4">
        <v>17254</v>
      </c>
      <c r="L138" s="4">
        <f t="shared" ref="L138:L201" si="20">G138*(H138+I138+J138+K138)</f>
        <v>1114032</v>
      </c>
      <c r="M138" s="4">
        <f t="shared" si="17"/>
        <v>891225.60000000009</v>
      </c>
      <c r="N138" s="5">
        <f t="shared" ref="N138:N201" si="21">L138-M138</f>
        <v>222806.39999999991</v>
      </c>
    </row>
    <row r="139" spans="1:14" x14ac:dyDescent="0.35">
      <c r="A139" t="s">
        <v>175</v>
      </c>
      <c r="B139" s="7">
        <v>45559</v>
      </c>
      <c r="C139" s="2" t="s">
        <v>14</v>
      </c>
      <c r="D139" s="2" t="s">
        <v>24</v>
      </c>
      <c r="E139" s="2" t="s">
        <v>25</v>
      </c>
      <c r="F139" t="s">
        <v>20</v>
      </c>
      <c r="G139" s="2">
        <v>3</v>
      </c>
      <c r="H139" s="3">
        <f t="shared" si="16"/>
        <v>345000</v>
      </c>
      <c r="I139" s="4">
        <f t="shared" si="18"/>
        <v>27600</v>
      </c>
      <c r="J139" s="4">
        <f t="shared" si="19"/>
        <v>10350</v>
      </c>
      <c r="K139" s="4">
        <v>8795</v>
      </c>
      <c r="L139" s="4">
        <f t="shared" si="20"/>
        <v>1175235</v>
      </c>
      <c r="M139" s="4">
        <f t="shared" si="17"/>
        <v>940188</v>
      </c>
      <c r="N139" s="5">
        <f t="shared" si="21"/>
        <v>235047</v>
      </c>
    </row>
    <row r="140" spans="1:14" x14ac:dyDescent="0.35">
      <c r="A140" t="s">
        <v>176</v>
      </c>
      <c r="B140" s="7">
        <v>45337</v>
      </c>
      <c r="C140" s="2" t="s">
        <v>15</v>
      </c>
      <c r="D140" s="2" t="s">
        <v>26</v>
      </c>
      <c r="E140" s="2" t="s">
        <v>27</v>
      </c>
      <c r="F140" t="s">
        <v>21</v>
      </c>
      <c r="G140" s="2">
        <v>1</v>
      </c>
      <c r="H140" s="3">
        <f t="shared" si="16"/>
        <v>359000</v>
      </c>
      <c r="I140" s="4">
        <f t="shared" si="18"/>
        <v>28720</v>
      </c>
      <c r="J140" s="4">
        <f t="shared" si="19"/>
        <v>10770</v>
      </c>
      <c r="K140" s="4">
        <v>9056</v>
      </c>
      <c r="L140" s="4">
        <f t="shared" si="20"/>
        <v>407546</v>
      </c>
      <c r="M140" s="4">
        <f t="shared" si="17"/>
        <v>326036.80000000005</v>
      </c>
      <c r="N140" s="5">
        <f t="shared" si="21"/>
        <v>81509.199999999953</v>
      </c>
    </row>
    <row r="141" spans="1:14" x14ac:dyDescent="0.35">
      <c r="A141" t="s">
        <v>177</v>
      </c>
      <c r="B141" s="7">
        <v>45496</v>
      </c>
      <c r="C141" s="2" t="s">
        <v>15</v>
      </c>
      <c r="D141" s="2" t="s">
        <v>28</v>
      </c>
      <c r="E141" s="2" t="s">
        <v>29</v>
      </c>
      <c r="F141" t="s">
        <v>20</v>
      </c>
      <c r="G141" s="2">
        <v>2</v>
      </c>
      <c r="H141" s="3">
        <f t="shared" si="16"/>
        <v>345000</v>
      </c>
      <c r="I141" s="4">
        <f t="shared" si="18"/>
        <v>27600</v>
      </c>
      <c r="J141" s="4">
        <f t="shared" si="19"/>
        <v>10350</v>
      </c>
      <c r="K141" s="4">
        <v>17996</v>
      </c>
      <c r="L141" s="4">
        <f t="shared" si="20"/>
        <v>801892</v>
      </c>
      <c r="M141" s="4">
        <f t="shared" si="17"/>
        <v>641513.60000000009</v>
      </c>
      <c r="N141" s="5">
        <f t="shared" si="21"/>
        <v>160378.39999999991</v>
      </c>
    </row>
    <row r="142" spans="1:14" x14ac:dyDescent="0.35">
      <c r="A142" t="s">
        <v>178</v>
      </c>
      <c r="B142" s="7">
        <v>45398</v>
      </c>
      <c r="C142" s="2" t="s">
        <v>16</v>
      </c>
      <c r="D142" s="2" t="s">
        <v>30</v>
      </c>
      <c r="E142" s="2" t="s">
        <v>31</v>
      </c>
      <c r="F142" t="s">
        <v>21</v>
      </c>
      <c r="G142" s="2">
        <v>3</v>
      </c>
      <c r="H142" s="3">
        <f t="shared" si="16"/>
        <v>359000</v>
      </c>
      <c r="I142" s="4">
        <f t="shared" si="18"/>
        <v>28720</v>
      </c>
      <c r="J142" s="4">
        <f t="shared" si="19"/>
        <v>10770</v>
      </c>
      <c r="K142" s="4">
        <v>15270</v>
      </c>
      <c r="L142" s="4">
        <f t="shared" si="20"/>
        <v>1241280</v>
      </c>
      <c r="M142" s="4">
        <f t="shared" si="17"/>
        <v>993024</v>
      </c>
      <c r="N142" s="5">
        <f t="shared" si="21"/>
        <v>248256</v>
      </c>
    </row>
    <row r="143" spans="1:14" x14ac:dyDescent="0.35">
      <c r="A143" t="s">
        <v>179</v>
      </c>
      <c r="B143" s="7">
        <v>45447</v>
      </c>
      <c r="C143" s="2" t="s">
        <v>16</v>
      </c>
      <c r="D143" s="2" t="s">
        <v>32</v>
      </c>
      <c r="E143" s="2" t="s">
        <v>33</v>
      </c>
      <c r="F143" t="s">
        <v>19</v>
      </c>
      <c r="G143" s="2">
        <v>4</v>
      </c>
      <c r="H143" s="3">
        <f t="shared" si="16"/>
        <v>319000</v>
      </c>
      <c r="I143" s="4">
        <f t="shared" si="18"/>
        <v>25520</v>
      </c>
      <c r="J143" s="4">
        <f t="shared" si="19"/>
        <v>9570</v>
      </c>
      <c r="K143" s="4">
        <v>15604</v>
      </c>
      <c r="L143" s="4">
        <f t="shared" si="20"/>
        <v>1478776</v>
      </c>
      <c r="M143" s="4">
        <f t="shared" si="17"/>
        <v>1183020.8</v>
      </c>
      <c r="N143" s="5">
        <f t="shared" si="21"/>
        <v>295755.19999999995</v>
      </c>
    </row>
    <row r="144" spans="1:14" x14ac:dyDescent="0.35">
      <c r="A144" t="s">
        <v>180</v>
      </c>
      <c r="B144" s="7">
        <v>45439</v>
      </c>
      <c r="C144" s="2" t="s">
        <v>17</v>
      </c>
      <c r="D144" s="2" t="s">
        <v>34</v>
      </c>
      <c r="E144" s="2" t="s">
        <v>35</v>
      </c>
      <c r="F144" t="s">
        <v>21</v>
      </c>
      <c r="G144" s="2">
        <v>5</v>
      </c>
      <c r="H144" s="3">
        <f t="shared" si="16"/>
        <v>359000</v>
      </c>
      <c r="I144" s="4">
        <f t="shared" si="18"/>
        <v>28720</v>
      </c>
      <c r="J144" s="4">
        <f t="shared" si="19"/>
        <v>10770</v>
      </c>
      <c r="K144" s="4">
        <v>24836</v>
      </c>
      <c r="L144" s="4">
        <f t="shared" si="20"/>
        <v>2116630</v>
      </c>
      <c r="M144" s="4">
        <f t="shared" si="17"/>
        <v>1693304</v>
      </c>
      <c r="N144" s="5">
        <f t="shared" si="21"/>
        <v>423326</v>
      </c>
    </row>
    <row r="145" spans="1:14" x14ac:dyDescent="0.35">
      <c r="A145" t="s">
        <v>181</v>
      </c>
      <c r="B145" s="7">
        <v>45477</v>
      </c>
      <c r="C145" s="2" t="s">
        <v>18</v>
      </c>
      <c r="D145" s="2" t="s">
        <v>36</v>
      </c>
      <c r="E145" s="2" t="s">
        <v>37</v>
      </c>
      <c r="F145" t="s">
        <v>21</v>
      </c>
      <c r="G145" s="2">
        <v>2</v>
      </c>
      <c r="H145" s="3">
        <f t="shared" si="16"/>
        <v>359000</v>
      </c>
      <c r="I145" s="4">
        <f t="shared" si="18"/>
        <v>28720</v>
      </c>
      <c r="J145" s="4">
        <f t="shared" si="19"/>
        <v>10770</v>
      </c>
      <c r="K145" s="4">
        <v>9174</v>
      </c>
      <c r="L145" s="4">
        <f t="shared" si="20"/>
        <v>815328</v>
      </c>
      <c r="M145" s="4">
        <f t="shared" si="17"/>
        <v>652262.40000000002</v>
      </c>
      <c r="N145" s="5">
        <f t="shared" si="21"/>
        <v>163065.59999999998</v>
      </c>
    </row>
    <row r="146" spans="1:14" x14ac:dyDescent="0.35">
      <c r="A146" t="s">
        <v>182</v>
      </c>
      <c r="B146" s="7">
        <v>45388</v>
      </c>
      <c r="C146" s="2" t="s">
        <v>14</v>
      </c>
      <c r="D146" s="2" t="s">
        <v>22</v>
      </c>
      <c r="E146" s="2" t="s">
        <v>23</v>
      </c>
      <c r="F146" t="s">
        <v>19</v>
      </c>
      <c r="G146" s="2">
        <v>1</v>
      </c>
      <c r="H146" s="3">
        <f t="shared" si="16"/>
        <v>319000</v>
      </c>
      <c r="I146" s="4">
        <f t="shared" si="18"/>
        <v>25520</v>
      </c>
      <c r="J146" s="4">
        <f t="shared" si="19"/>
        <v>9570</v>
      </c>
      <c r="K146" s="4">
        <v>19574</v>
      </c>
      <c r="L146" s="4">
        <f t="shared" si="20"/>
        <v>373664</v>
      </c>
      <c r="M146" s="4">
        <f t="shared" si="17"/>
        <v>298931.20000000001</v>
      </c>
      <c r="N146" s="5">
        <f t="shared" si="21"/>
        <v>74732.799999999988</v>
      </c>
    </row>
    <row r="147" spans="1:14" x14ac:dyDescent="0.35">
      <c r="A147" t="s">
        <v>183</v>
      </c>
      <c r="B147" s="7">
        <v>45532</v>
      </c>
      <c r="C147" s="2" t="s">
        <v>14</v>
      </c>
      <c r="D147" s="2" t="s">
        <v>24</v>
      </c>
      <c r="E147" s="2" t="s">
        <v>25</v>
      </c>
      <c r="F147" t="s">
        <v>20</v>
      </c>
      <c r="G147" s="2">
        <v>1</v>
      </c>
      <c r="H147" s="3">
        <f t="shared" si="16"/>
        <v>345000</v>
      </c>
      <c r="I147" s="4">
        <f t="shared" si="18"/>
        <v>27600</v>
      </c>
      <c r="J147" s="4">
        <f t="shared" si="19"/>
        <v>10350</v>
      </c>
      <c r="K147" s="4">
        <v>17536</v>
      </c>
      <c r="L147" s="4">
        <f t="shared" si="20"/>
        <v>400486</v>
      </c>
      <c r="M147" s="4">
        <f t="shared" si="17"/>
        <v>320388.80000000005</v>
      </c>
      <c r="N147" s="5">
        <f t="shared" si="21"/>
        <v>80097.199999999953</v>
      </c>
    </row>
    <row r="148" spans="1:14" x14ac:dyDescent="0.35">
      <c r="A148" t="s">
        <v>184</v>
      </c>
      <c r="B148" s="7">
        <v>45475</v>
      </c>
      <c r="C148" s="2" t="s">
        <v>15</v>
      </c>
      <c r="D148" s="2" t="s">
        <v>26</v>
      </c>
      <c r="E148" s="2" t="s">
        <v>27</v>
      </c>
      <c r="F148" t="s">
        <v>21</v>
      </c>
      <c r="G148" s="2">
        <v>1</v>
      </c>
      <c r="H148" s="3">
        <f t="shared" si="16"/>
        <v>359000</v>
      </c>
      <c r="I148" s="4">
        <f t="shared" si="18"/>
        <v>28720</v>
      </c>
      <c r="J148" s="4">
        <f t="shared" si="19"/>
        <v>10770</v>
      </c>
      <c r="K148" s="4">
        <v>15346</v>
      </c>
      <c r="L148" s="4">
        <f t="shared" si="20"/>
        <v>413836</v>
      </c>
      <c r="M148" s="4">
        <f t="shared" si="17"/>
        <v>331068.80000000005</v>
      </c>
      <c r="N148" s="5">
        <f t="shared" si="21"/>
        <v>82767.199999999953</v>
      </c>
    </row>
    <row r="149" spans="1:14" x14ac:dyDescent="0.35">
      <c r="A149" t="s">
        <v>185</v>
      </c>
      <c r="B149" s="7">
        <v>45467</v>
      </c>
      <c r="C149" s="2" t="s">
        <v>15</v>
      </c>
      <c r="D149" s="2" t="s">
        <v>28</v>
      </c>
      <c r="E149" s="2" t="s">
        <v>29</v>
      </c>
      <c r="F149" t="s">
        <v>20</v>
      </c>
      <c r="G149" s="2">
        <v>1</v>
      </c>
      <c r="H149" s="3">
        <f t="shared" si="16"/>
        <v>345000</v>
      </c>
      <c r="I149" s="4">
        <f t="shared" si="18"/>
        <v>27600</v>
      </c>
      <c r="J149" s="4">
        <f t="shared" si="19"/>
        <v>10350</v>
      </c>
      <c r="K149" s="4">
        <v>21050</v>
      </c>
      <c r="L149" s="4">
        <f t="shared" si="20"/>
        <v>404000</v>
      </c>
      <c r="M149" s="4">
        <f t="shared" si="17"/>
        <v>323200</v>
      </c>
      <c r="N149" s="5">
        <f t="shared" si="21"/>
        <v>80800</v>
      </c>
    </row>
    <row r="150" spans="1:14" x14ac:dyDescent="0.35">
      <c r="A150" t="s">
        <v>186</v>
      </c>
      <c r="B150" s="7">
        <v>45553</v>
      </c>
      <c r="C150" s="2" t="s">
        <v>16</v>
      </c>
      <c r="D150" s="2" t="s">
        <v>30</v>
      </c>
      <c r="E150" s="2" t="s">
        <v>31</v>
      </c>
      <c r="F150" t="s">
        <v>21</v>
      </c>
      <c r="G150" s="2">
        <v>4</v>
      </c>
      <c r="H150" s="3">
        <f t="shared" si="16"/>
        <v>359000</v>
      </c>
      <c r="I150" s="4">
        <f t="shared" si="18"/>
        <v>28720</v>
      </c>
      <c r="J150" s="4">
        <f t="shared" si="19"/>
        <v>10770</v>
      </c>
      <c r="K150" s="4">
        <v>9009</v>
      </c>
      <c r="L150" s="4">
        <f t="shared" si="20"/>
        <v>1629996</v>
      </c>
      <c r="M150" s="4">
        <f t="shared" si="17"/>
        <v>1303996.8</v>
      </c>
      <c r="N150" s="5">
        <f t="shared" si="21"/>
        <v>325999.19999999995</v>
      </c>
    </row>
    <row r="151" spans="1:14" x14ac:dyDescent="0.35">
      <c r="A151" t="s">
        <v>187</v>
      </c>
      <c r="B151" s="7">
        <v>45319</v>
      </c>
      <c r="C151" s="2" t="s">
        <v>16</v>
      </c>
      <c r="D151" s="2" t="s">
        <v>32</v>
      </c>
      <c r="E151" s="2" t="s">
        <v>33</v>
      </c>
      <c r="F151" t="s">
        <v>19</v>
      </c>
      <c r="G151" s="2">
        <v>5</v>
      </c>
      <c r="H151" s="3">
        <f t="shared" si="16"/>
        <v>319000</v>
      </c>
      <c r="I151" s="4">
        <f t="shared" si="18"/>
        <v>25520</v>
      </c>
      <c r="J151" s="4">
        <f t="shared" si="19"/>
        <v>9570</v>
      </c>
      <c r="K151" s="4">
        <v>15689</v>
      </c>
      <c r="L151" s="4">
        <f t="shared" si="20"/>
        <v>1848895</v>
      </c>
      <c r="M151" s="4">
        <f t="shared" si="17"/>
        <v>1479116</v>
      </c>
      <c r="N151" s="5">
        <f t="shared" si="21"/>
        <v>369779</v>
      </c>
    </row>
    <row r="152" spans="1:14" x14ac:dyDescent="0.35">
      <c r="A152" t="s">
        <v>188</v>
      </c>
      <c r="B152" s="7">
        <v>45403</v>
      </c>
      <c r="C152" s="2" t="s">
        <v>17</v>
      </c>
      <c r="D152" s="2" t="s">
        <v>34</v>
      </c>
      <c r="E152" s="2" t="s">
        <v>35</v>
      </c>
      <c r="F152" t="s">
        <v>21</v>
      </c>
      <c r="G152" s="2">
        <v>1</v>
      </c>
      <c r="H152" s="3">
        <f t="shared" si="16"/>
        <v>359000</v>
      </c>
      <c r="I152" s="4">
        <f t="shared" si="18"/>
        <v>28720</v>
      </c>
      <c r="J152" s="4">
        <f t="shared" si="19"/>
        <v>10770</v>
      </c>
      <c r="K152" s="4">
        <v>16579</v>
      </c>
      <c r="L152" s="4">
        <f t="shared" si="20"/>
        <v>415069</v>
      </c>
      <c r="M152" s="4">
        <f t="shared" si="17"/>
        <v>332055.2</v>
      </c>
      <c r="N152" s="5">
        <f t="shared" si="21"/>
        <v>83013.799999999988</v>
      </c>
    </row>
    <row r="153" spans="1:14" x14ac:dyDescent="0.35">
      <c r="A153" t="s">
        <v>189</v>
      </c>
      <c r="B153" s="7">
        <v>45637</v>
      </c>
      <c r="C153" s="2" t="s">
        <v>18</v>
      </c>
      <c r="D153" s="2" t="s">
        <v>36</v>
      </c>
      <c r="E153" s="2" t="s">
        <v>37</v>
      </c>
      <c r="F153" t="s">
        <v>21</v>
      </c>
      <c r="G153" s="2">
        <v>1</v>
      </c>
      <c r="H153" s="3">
        <f t="shared" si="16"/>
        <v>359000</v>
      </c>
      <c r="I153" s="4">
        <f t="shared" si="18"/>
        <v>28720</v>
      </c>
      <c r="J153" s="4">
        <f t="shared" si="19"/>
        <v>10770</v>
      </c>
      <c r="K153" s="4">
        <v>20488</v>
      </c>
      <c r="L153" s="4">
        <f t="shared" si="20"/>
        <v>418978</v>
      </c>
      <c r="M153" s="4">
        <f t="shared" si="17"/>
        <v>335182.40000000002</v>
      </c>
      <c r="N153" s="5">
        <f t="shared" si="21"/>
        <v>83795.599999999977</v>
      </c>
    </row>
    <row r="154" spans="1:14" x14ac:dyDescent="0.35">
      <c r="A154" t="s">
        <v>190</v>
      </c>
      <c r="B154" s="7">
        <v>45483</v>
      </c>
      <c r="C154" s="2" t="s">
        <v>14</v>
      </c>
      <c r="D154" s="2" t="s">
        <v>22</v>
      </c>
      <c r="E154" s="2" t="s">
        <v>23</v>
      </c>
      <c r="F154" t="s">
        <v>19</v>
      </c>
      <c r="G154" s="2">
        <v>2</v>
      </c>
      <c r="H154" s="3">
        <f t="shared" si="16"/>
        <v>319000</v>
      </c>
      <c r="I154" s="4">
        <f t="shared" si="18"/>
        <v>25520</v>
      </c>
      <c r="J154" s="4">
        <f t="shared" si="19"/>
        <v>9570</v>
      </c>
      <c r="K154" s="4">
        <v>10720</v>
      </c>
      <c r="L154" s="4">
        <f t="shared" si="20"/>
        <v>729620</v>
      </c>
      <c r="M154" s="4">
        <f t="shared" si="17"/>
        <v>583696</v>
      </c>
      <c r="N154" s="5">
        <f t="shared" si="21"/>
        <v>145924</v>
      </c>
    </row>
    <row r="155" spans="1:14" x14ac:dyDescent="0.35">
      <c r="A155" t="s">
        <v>191</v>
      </c>
      <c r="B155" s="7">
        <v>45314</v>
      </c>
      <c r="C155" s="2" t="s">
        <v>14</v>
      </c>
      <c r="D155" s="2" t="s">
        <v>24</v>
      </c>
      <c r="E155" s="2" t="s">
        <v>25</v>
      </c>
      <c r="F155" t="s">
        <v>20</v>
      </c>
      <c r="G155" s="2">
        <v>5</v>
      </c>
      <c r="H155" s="3">
        <f t="shared" si="16"/>
        <v>345000</v>
      </c>
      <c r="I155" s="4">
        <f t="shared" si="18"/>
        <v>27600</v>
      </c>
      <c r="J155" s="4">
        <f t="shared" si="19"/>
        <v>10350</v>
      </c>
      <c r="K155" s="4">
        <v>14967</v>
      </c>
      <c r="L155" s="4">
        <f t="shared" si="20"/>
        <v>1989585</v>
      </c>
      <c r="M155" s="4">
        <f t="shared" si="17"/>
        <v>1591668</v>
      </c>
      <c r="N155" s="5">
        <f t="shared" si="21"/>
        <v>397917</v>
      </c>
    </row>
    <row r="156" spans="1:14" x14ac:dyDescent="0.35">
      <c r="A156" t="s">
        <v>192</v>
      </c>
      <c r="B156" s="7">
        <v>45591</v>
      </c>
      <c r="C156" s="2" t="s">
        <v>15</v>
      </c>
      <c r="D156" s="2" t="s">
        <v>26</v>
      </c>
      <c r="E156" s="2" t="s">
        <v>27</v>
      </c>
      <c r="F156" t="s">
        <v>21</v>
      </c>
      <c r="G156" s="2">
        <v>2</v>
      </c>
      <c r="H156" s="3">
        <f t="shared" si="16"/>
        <v>359000</v>
      </c>
      <c r="I156" s="4">
        <f t="shared" si="18"/>
        <v>28720</v>
      </c>
      <c r="J156" s="4">
        <f t="shared" si="19"/>
        <v>10770</v>
      </c>
      <c r="K156" s="4">
        <v>16566</v>
      </c>
      <c r="L156" s="4">
        <f t="shared" si="20"/>
        <v>830112</v>
      </c>
      <c r="M156" s="4">
        <f t="shared" si="17"/>
        <v>664089.60000000009</v>
      </c>
      <c r="N156" s="5">
        <f t="shared" si="21"/>
        <v>166022.39999999991</v>
      </c>
    </row>
    <row r="157" spans="1:14" x14ac:dyDescent="0.35">
      <c r="A157" t="s">
        <v>193</v>
      </c>
      <c r="B157" s="7">
        <v>45444</v>
      </c>
      <c r="C157" s="2" t="s">
        <v>15</v>
      </c>
      <c r="D157" s="2" t="s">
        <v>28</v>
      </c>
      <c r="E157" s="2" t="s">
        <v>29</v>
      </c>
      <c r="F157" t="s">
        <v>20</v>
      </c>
      <c r="G157" s="2">
        <v>4</v>
      </c>
      <c r="H157" s="3">
        <f t="shared" si="16"/>
        <v>345000</v>
      </c>
      <c r="I157" s="4">
        <f t="shared" si="18"/>
        <v>27600</v>
      </c>
      <c r="J157" s="4">
        <f t="shared" si="19"/>
        <v>10350</v>
      </c>
      <c r="K157" s="4">
        <v>13029</v>
      </c>
      <c r="L157" s="4">
        <f t="shared" si="20"/>
        <v>1583916</v>
      </c>
      <c r="M157" s="4">
        <f t="shared" si="17"/>
        <v>1267132.8</v>
      </c>
      <c r="N157" s="5">
        <f t="shared" si="21"/>
        <v>316783.19999999995</v>
      </c>
    </row>
    <row r="158" spans="1:14" x14ac:dyDescent="0.35">
      <c r="A158" t="s">
        <v>194</v>
      </c>
      <c r="B158" s="7">
        <v>45570</v>
      </c>
      <c r="C158" s="2" t="s">
        <v>16</v>
      </c>
      <c r="D158" s="2" t="s">
        <v>30</v>
      </c>
      <c r="E158" s="2" t="s">
        <v>31</v>
      </c>
      <c r="F158" t="s">
        <v>21</v>
      </c>
      <c r="G158" s="2">
        <v>3</v>
      </c>
      <c r="H158" s="3">
        <f t="shared" si="16"/>
        <v>359000</v>
      </c>
      <c r="I158" s="4">
        <f t="shared" si="18"/>
        <v>28720</v>
      </c>
      <c r="J158" s="4">
        <f t="shared" si="19"/>
        <v>10770</v>
      </c>
      <c r="K158" s="4">
        <v>15351</v>
      </c>
      <c r="L158" s="4">
        <f t="shared" si="20"/>
        <v>1241523</v>
      </c>
      <c r="M158" s="4">
        <f t="shared" si="17"/>
        <v>993218.4</v>
      </c>
      <c r="N158" s="5">
        <f t="shared" si="21"/>
        <v>248304.59999999998</v>
      </c>
    </row>
    <row r="159" spans="1:14" x14ac:dyDescent="0.35">
      <c r="A159" t="s">
        <v>195</v>
      </c>
      <c r="B159" s="7">
        <v>45363</v>
      </c>
      <c r="C159" s="2" t="s">
        <v>16</v>
      </c>
      <c r="D159" s="2" t="s">
        <v>32</v>
      </c>
      <c r="E159" s="2" t="s">
        <v>33</v>
      </c>
      <c r="F159" t="s">
        <v>19</v>
      </c>
      <c r="G159" s="2">
        <v>4</v>
      </c>
      <c r="H159" s="3">
        <f t="shared" si="16"/>
        <v>319000</v>
      </c>
      <c r="I159" s="4">
        <f t="shared" si="18"/>
        <v>25520</v>
      </c>
      <c r="J159" s="4">
        <f t="shared" si="19"/>
        <v>9570</v>
      </c>
      <c r="K159" s="4">
        <v>16252</v>
      </c>
      <c r="L159" s="4">
        <f t="shared" si="20"/>
        <v>1481368</v>
      </c>
      <c r="M159" s="4">
        <f t="shared" si="17"/>
        <v>1185094.4000000001</v>
      </c>
      <c r="N159" s="5">
        <f t="shared" si="21"/>
        <v>296273.59999999986</v>
      </c>
    </row>
    <row r="160" spans="1:14" x14ac:dyDescent="0.35">
      <c r="A160" t="s">
        <v>196</v>
      </c>
      <c r="B160" s="7">
        <v>45452</v>
      </c>
      <c r="C160" s="2" t="s">
        <v>17</v>
      </c>
      <c r="D160" s="2" t="s">
        <v>34</v>
      </c>
      <c r="E160" s="2" t="s">
        <v>35</v>
      </c>
      <c r="F160" t="s">
        <v>21</v>
      </c>
      <c r="G160" s="2">
        <v>5</v>
      </c>
      <c r="H160" s="3">
        <f t="shared" si="16"/>
        <v>359000</v>
      </c>
      <c r="I160" s="4">
        <f t="shared" si="18"/>
        <v>28720</v>
      </c>
      <c r="J160" s="4">
        <f t="shared" si="19"/>
        <v>10770</v>
      </c>
      <c r="K160" s="4">
        <v>12110</v>
      </c>
      <c r="L160" s="4">
        <f t="shared" si="20"/>
        <v>2053000</v>
      </c>
      <c r="M160" s="4">
        <f t="shared" si="17"/>
        <v>1642400</v>
      </c>
      <c r="N160" s="5">
        <f t="shared" si="21"/>
        <v>410600</v>
      </c>
    </row>
    <row r="161" spans="1:14" x14ac:dyDescent="0.35">
      <c r="A161" t="s">
        <v>197</v>
      </c>
      <c r="B161" s="7">
        <v>45330</v>
      </c>
      <c r="C161" s="2" t="s">
        <v>18</v>
      </c>
      <c r="D161" s="2" t="s">
        <v>36</v>
      </c>
      <c r="E161" s="2" t="s">
        <v>37</v>
      </c>
      <c r="F161" t="s">
        <v>21</v>
      </c>
      <c r="G161" s="2">
        <v>2</v>
      </c>
      <c r="H161" s="3">
        <f t="shared" si="16"/>
        <v>359000</v>
      </c>
      <c r="I161" s="4">
        <f t="shared" si="18"/>
        <v>28720</v>
      </c>
      <c r="J161" s="4">
        <f t="shared" si="19"/>
        <v>10770</v>
      </c>
      <c r="K161" s="4">
        <v>23433</v>
      </c>
      <c r="L161" s="4">
        <f t="shared" si="20"/>
        <v>843846</v>
      </c>
      <c r="M161" s="4">
        <f t="shared" si="17"/>
        <v>675076.8</v>
      </c>
      <c r="N161" s="5">
        <f t="shared" si="21"/>
        <v>168769.19999999995</v>
      </c>
    </row>
    <row r="162" spans="1:14" x14ac:dyDescent="0.35">
      <c r="A162" t="s">
        <v>198</v>
      </c>
      <c r="B162" s="7">
        <v>45540</v>
      </c>
      <c r="C162" s="2" t="s">
        <v>14</v>
      </c>
      <c r="D162" s="2" t="s">
        <v>22</v>
      </c>
      <c r="E162" s="2" t="s">
        <v>23</v>
      </c>
      <c r="F162" t="s">
        <v>19</v>
      </c>
      <c r="G162" s="2">
        <v>3</v>
      </c>
      <c r="H162" s="3">
        <f t="shared" si="16"/>
        <v>319000</v>
      </c>
      <c r="I162" s="4">
        <f t="shared" si="18"/>
        <v>25520</v>
      </c>
      <c r="J162" s="4">
        <f t="shared" si="19"/>
        <v>9570</v>
      </c>
      <c r="K162" s="4">
        <v>10904</v>
      </c>
      <c r="L162" s="4">
        <f t="shared" si="20"/>
        <v>1094982</v>
      </c>
      <c r="M162" s="4">
        <f t="shared" si="17"/>
        <v>875985.60000000009</v>
      </c>
      <c r="N162" s="5">
        <f t="shared" si="21"/>
        <v>218996.39999999991</v>
      </c>
    </row>
    <row r="163" spans="1:14" x14ac:dyDescent="0.35">
      <c r="A163" t="s">
        <v>199</v>
      </c>
      <c r="B163" s="7">
        <v>45523</v>
      </c>
      <c r="C163" s="2" t="s">
        <v>14</v>
      </c>
      <c r="D163" s="2" t="s">
        <v>24</v>
      </c>
      <c r="E163" s="2" t="s">
        <v>25</v>
      </c>
      <c r="F163" t="s">
        <v>20</v>
      </c>
      <c r="G163" s="2">
        <v>1</v>
      </c>
      <c r="H163" s="3">
        <f t="shared" si="16"/>
        <v>345000</v>
      </c>
      <c r="I163" s="4">
        <f t="shared" si="18"/>
        <v>27600</v>
      </c>
      <c r="J163" s="4">
        <f t="shared" si="19"/>
        <v>10350</v>
      </c>
      <c r="K163" s="4">
        <v>6176</v>
      </c>
      <c r="L163" s="4">
        <f t="shared" si="20"/>
        <v>389126</v>
      </c>
      <c r="M163" s="4">
        <f t="shared" si="17"/>
        <v>311300.8</v>
      </c>
      <c r="N163" s="5">
        <f t="shared" si="21"/>
        <v>77825.200000000012</v>
      </c>
    </row>
    <row r="164" spans="1:14" x14ac:dyDescent="0.35">
      <c r="A164" t="s">
        <v>200</v>
      </c>
      <c r="B164" s="7">
        <v>45617</v>
      </c>
      <c r="C164" s="2" t="s">
        <v>15</v>
      </c>
      <c r="D164" s="2" t="s">
        <v>26</v>
      </c>
      <c r="E164" s="2" t="s">
        <v>27</v>
      </c>
      <c r="F164" t="s">
        <v>21</v>
      </c>
      <c r="G164" s="2">
        <v>3</v>
      </c>
      <c r="H164" s="3">
        <f t="shared" si="16"/>
        <v>359000</v>
      </c>
      <c r="I164" s="4">
        <f t="shared" si="18"/>
        <v>28720</v>
      </c>
      <c r="J164" s="4">
        <f t="shared" si="19"/>
        <v>10770</v>
      </c>
      <c r="K164" s="4">
        <v>14771</v>
      </c>
      <c r="L164" s="4">
        <f t="shared" si="20"/>
        <v>1239783</v>
      </c>
      <c r="M164" s="4">
        <f t="shared" si="17"/>
        <v>991826.4</v>
      </c>
      <c r="N164" s="5">
        <f t="shared" si="21"/>
        <v>247956.59999999998</v>
      </c>
    </row>
    <row r="165" spans="1:14" x14ac:dyDescent="0.35">
      <c r="A165" t="s">
        <v>201</v>
      </c>
      <c r="B165" s="7">
        <v>45425</v>
      </c>
      <c r="C165" s="2" t="s">
        <v>15</v>
      </c>
      <c r="D165" s="2" t="s">
        <v>28</v>
      </c>
      <c r="E165" s="2" t="s">
        <v>29</v>
      </c>
      <c r="F165" t="s">
        <v>20</v>
      </c>
      <c r="G165" s="2">
        <v>2</v>
      </c>
      <c r="H165" s="3">
        <f t="shared" si="16"/>
        <v>345000</v>
      </c>
      <c r="I165" s="4">
        <f t="shared" si="18"/>
        <v>27600</v>
      </c>
      <c r="J165" s="4">
        <f t="shared" si="19"/>
        <v>10350</v>
      </c>
      <c r="K165" s="4">
        <v>8916</v>
      </c>
      <c r="L165" s="4">
        <f t="shared" si="20"/>
        <v>783732</v>
      </c>
      <c r="M165" s="4">
        <f t="shared" si="17"/>
        <v>626985.6</v>
      </c>
      <c r="N165" s="5">
        <f t="shared" si="21"/>
        <v>156746.40000000002</v>
      </c>
    </row>
    <row r="166" spans="1:14" x14ac:dyDescent="0.35">
      <c r="A166" t="s">
        <v>202</v>
      </c>
      <c r="B166" s="7">
        <v>45367</v>
      </c>
      <c r="C166" s="2" t="s">
        <v>16</v>
      </c>
      <c r="D166" s="2" t="s">
        <v>30</v>
      </c>
      <c r="E166" s="2" t="s">
        <v>31</v>
      </c>
      <c r="F166" t="s">
        <v>21</v>
      </c>
      <c r="G166" s="2">
        <v>5</v>
      </c>
      <c r="H166" s="3">
        <f t="shared" si="16"/>
        <v>359000</v>
      </c>
      <c r="I166" s="4">
        <f t="shared" si="18"/>
        <v>28720</v>
      </c>
      <c r="J166" s="4">
        <f t="shared" si="19"/>
        <v>10770</v>
      </c>
      <c r="K166" s="4">
        <v>14205</v>
      </c>
      <c r="L166" s="4">
        <f t="shared" si="20"/>
        <v>2063475</v>
      </c>
      <c r="M166" s="4">
        <f t="shared" si="17"/>
        <v>1650780</v>
      </c>
      <c r="N166" s="5">
        <f t="shared" si="21"/>
        <v>412695</v>
      </c>
    </row>
    <row r="167" spans="1:14" x14ac:dyDescent="0.35">
      <c r="A167" t="s">
        <v>203</v>
      </c>
      <c r="B167" s="7">
        <v>45552</v>
      </c>
      <c r="C167" s="2" t="s">
        <v>16</v>
      </c>
      <c r="D167" s="2" t="s">
        <v>32</v>
      </c>
      <c r="E167" s="2" t="s">
        <v>33</v>
      </c>
      <c r="F167" t="s">
        <v>19</v>
      </c>
      <c r="G167" s="2">
        <v>5</v>
      </c>
      <c r="H167" s="3">
        <f t="shared" si="16"/>
        <v>319000</v>
      </c>
      <c r="I167" s="4">
        <f t="shared" si="18"/>
        <v>25520</v>
      </c>
      <c r="J167" s="4">
        <f t="shared" si="19"/>
        <v>9570</v>
      </c>
      <c r="K167" s="4">
        <v>15196</v>
      </c>
      <c r="L167" s="4">
        <f t="shared" si="20"/>
        <v>1846430</v>
      </c>
      <c r="M167" s="4">
        <f t="shared" si="17"/>
        <v>1477144</v>
      </c>
      <c r="N167" s="5">
        <f t="shared" si="21"/>
        <v>369286</v>
      </c>
    </row>
    <row r="168" spans="1:14" x14ac:dyDescent="0.35">
      <c r="A168" t="s">
        <v>204</v>
      </c>
      <c r="B168" s="7">
        <v>45635</v>
      </c>
      <c r="C168" s="2" t="s">
        <v>17</v>
      </c>
      <c r="D168" s="2" t="s">
        <v>34</v>
      </c>
      <c r="E168" s="2" t="s">
        <v>35</v>
      </c>
      <c r="F168" t="s">
        <v>21</v>
      </c>
      <c r="G168" s="2">
        <v>1</v>
      </c>
      <c r="H168" s="3">
        <f t="shared" si="16"/>
        <v>359000</v>
      </c>
      <c r="I168" s="4">
        <f t="shared" si="18"/>
        <v>28720</v>
      </c>
      <c r="J168" s="4">
        <f t="shared" si="19"/>
        <v>10770</v>
      </c>
      <c r="K168" s="4">
        <v>18594</v>
      </c>
      <c r="L168" s="4">
        <f t="shared" si="20"/>
        <v>417084</v>
      </c>
      <c r="M168" s="4">
        <f t="shared" si="17"/>
        <v>333667.20000000001</v>
      </c>
      <c r="N168" s="5">
        <f t="shared" si="21"/>
        <v>83416.799999999988</v>
      </c>
    </row>
    <row r="169" spans="1:14" x14ac:dyDescent="0.35">
      <c r="A169" t="s">
        <v>205</v>
      </c>
      <c r="B169" s="7">
        <v>45326</v>
      </c>
      <c r="C169" s="2" t="s">
        <v>18</v>
      </c>
      <c r="D169" s="2" t="s">
        <v>36</v>
      </c>
      <c r="E169" s="2" t="s">
        <v>37</v>
      </c>
      <c r="F169" t="s">
        <v>21</v>
      </c>
      <c r="G169" s="2">
        <v>2</v>
      </c>
      <c r="H169" s="3">
        <f t="shared" si="16"/>
        <v>359000</v>
      </c>
      <c r="I169" s="4">
        <f t="shared" si="18"/>
        <v>28720</v>
      </c>
      <c r="J169" s="4">
        <f t="shared" si="19"/>
        <v>10770</v>
      </c>
      <c r="K169" s="4">
        <v>21381</v>
      </c>
      <c r="L169" s="4">
        <f t="shared" si="20"/>
        <v>839742</v>
      </c>
      <c r="M169" s="4">
        <f t="shared" si="17"/>
        <v>671793.60000000009</v>
      </c>
      <c r="N169" s="5">
        <f t="shared" si="21"/>
        <v>167948.39999999991</v>
      </c>
    </row>
    <row r="170" spans="1:14" x14ac:dyDescent="0.35">
      <c r="A170" t="s">
        <v>206</v>
      </c>
      <c r="B170" s="7">
        <v>45355</v>
      </c>
      <c r="C170" s="2" t="s">
        <v>14</v>
      </c>
      <c r="D170" s="2" t="s">
        <v>22</v>
      </c>
      <c r="E170" s="2" t="s">
        <v>23</v>
      </c>
      <c r="F170" t="s">
        <v>19</v>
      </c>
      <c r="G170" s="2">
        <v>3</v>
      </c>
      <c r="H170" s="3">
        <f t="shared" si="16"/>
        <v>319000</v>
      </c>
      <c r="I170" s="4">
        <f t="shared" si="18"/>
        <v>25520</v>
      </c>
      <c r="J170" s="4">
        <f t="shared" si="19"/>
        <v>9570</v>
      </c>
      <c r="K170" s="4">
        <v>7310</v>
      </c>
      <c r="L170" s="4">
        <f t="shared" si="20"/>
        <v>1084200</v>
      </c>
      <c r="M170" s="4">
        <f t="shared" si="17"/>
        <v>867360</v>
      </c>
      <c r="N170" s="5">
        <f t="shared" si="21"/>
        <v>216840</v>
      </c>
    </row>
    <row r="171" spans="1:14" x14ac:dyDescent="0.35">
      <c r="A171" t="s">
        <v>207</v>
      </c>
      <c r="B171" s="7">
        <v>45620</v>
      </c>
      <c r="C171" s="2" t="s">
        <v>14</v>
      </c>
      <c r="D171" s="2" t="s">
        <v>24</v>
      </c>
      <c r="E171" s="2" t="s">
        <v>25</v>
      </c>
      <c r="F171" t="s">
        <v>20</v>
      </c>
      <c r="G171" s="2">
        <v>1</v>
      </c>
      <c r="H171" s="3">
        <f t="shared" si="16"/>
        <v>345000</v>
      </c>
      <c r="I171" s="4">
        <f t="shared" si="18"/>
        <v>27600</v>
      </c>
      <c r="J171" s="4">
        <f t="shared" si="19"/>
        <v>10350</v>
      </c>
      <c r="K171" s="4">
        <v>8227</v>
      </c>
      <c r="L171" s="4">
        <f t="shared" si="20"/>
        <v>391177</v>
      </c>
      <c r="M171" s="4">
        <f t="shared" si="17"/>
        <v>312941.60000000003</v>
      </c>
      <c r="N171" s="5">
        <f t="shared" si="21"/>
        <v>78235.399999999965</v>
      </c>
    </row>
    <row r="172" spans="1:14" x14ac:dyDescent="0.35">
      <c r="A172" t="s">
        <v>208</v>
      </c>
      <c r="B172" s="7">
        <v>45343</v>
      </c>
      <c r="C172" s="2" t="s">
        <v>15</v>
      </c>
      <c r="D172" s="2" t="s">
        <v>26</v>
      </c>
      <c r="E172" s="2" t="s">
        <v>27</v>
      </c>
      <c r="F172" t="s">
        <v>21</v>
      </c>
      <c r="G172" s="2">
        <v>3</v>
      </c>
      <c r="H172" s="3">
        <f t="shared" si="16"/>
        <v>359000</v>
      </c>
      <c r="I172" s="4">
        <f t="shared" si="18"/>
        <v>28720</v>
      </c>
      <c r="J172" s="4">
        <f t="shared" si="19"/>
        <v>10770</v>
      </c>
      <c r="K172" s="4">
        <v>18572</v>
      </c>
      <c r="L172" s="4">
        <f t="shared" si="20"/>
        <v>1251186</v>
      </c>
      <c r="M172" s="4">
        <f t="shared" si="17"/>
        <v>1000948.8</v>
      </c>
      <c r="N172" s="5">
        <f t="shared" si="21"/>
        <v>250237.19999999995</v>
      </c>
    </row>
    <row r="173" spans="1:14" x14ac:dyDescent="0.35">
      <c r="A173" t="s">
        <v>209</v>
      </c>
      <c r="B173" s="7">
        <v>45584</v>
      </c>
      <c r="C173" s="2" t="s">
        <v>15</v>
      </c>
      <c r="D173" s="2" t="s">
        <v>28</v>
      </c>
      <c r="E173" s="2" t="s">
        <v>29</v>
      </c>
      <c r="F173" t="s">
        <v>20</v>
      </c>
      <c r="G173" s="2">
        <v>3</v>
      </c>
      <c r="H173" s="3">
        <f t="shared" si="16"/>
        <v>345000</v>
      </c>
      <c r="I173" s="4">
        <f t="shared" si="18"/>
        <v>27600</v>
      </c>
      <c r="J173" s="4">
        <f t="shared" si="19"/>
        <v>10350</v>
      </c>
      <c r="K173" s="4">
        <v>12723</v>
      </c>
      <c r="L173" s="4">
        <f t="shared" si="20"/>
        <v>1187019</v>
      </c>
      <c r="M173" s="4">
        <f t="shared" si="17"/>
        <v>949615.20000000007</v>
      </c>
      <c r="N173" s="5">
        <f t="shared" si="21"/>
        <v>237403.79999999993</v>
      </c>
    </row>
    <row r="174" spans="1:14" x14ac:dyDescent="0.35">
      <c r="A174" t="s">
        <v>210</v>
      </c>
      <c r="B174" s="7">
        <v>45632</v>
      </c>
      <c r="C174" s="2" t="s">
        <v>16</v>
      </c>
      <c r="D174" s="2" t="s">
        <v>30</v>
      </c>
      <c r="E174" s="2" t="s">
        <v>31</v>
      </c>
      <c r="F174" t="s">
        <v>21</v>
      </c>
      <c r="G174" s="2">
        <v>5</v>
      </c>
      <c r="H174" s="3">
        <f t="shared" si="16"/>
        <v>359000</v>
      </c>
      <c r="I174" s="4">
        <f t="shared" si="18"/>
        <v>28720</v>
      </c>
      <c r="J174" s="4">
        <f t="shared" si="19"/>
        <v>10770</v>
      </c>
      <c r="K174" s="4">
        <v>10353</v>
      </c>
      <c r="L174" s="4">
        <f t="shared" si="20"/>
        <v>2044215</v>
      </c>
      <c r="M174" s="4">
        <f t="shared" si="17"/>
        <v>1635372</v>
      </c>
      <c r="N174" s="5">
        <f t="shared" si="21"/>
        <v>408843</v>
      </c>
    </row>
    <row r="175" spans="1:14" x14ac:dyDescent="0.35">
      <c r="A175" t="s">
        <v>211</v>
      </c>
      <c r="B175" s="7">
        <v>45545</v>
      </c>
      <c r="C175" s="2" t="s">
        <v>16</v>
      </c>
      <c r="D175" s="2" t="s">
        <v>32</v>
      </c>
      <c r="E175" s="2" t="s">
        <v>33</v>
      </c>
      <c r="F175" t="s">
        <v>19</v>
      </c>
      <c r="G175" s="2">
        <v>1</v>
      </c>
      <c r="H175" s="3">
        <f t="shared" si="16"/>
        <v>319000</v>
      </c>
      <c r="I175" s="4">
        <f t="shared" si="18"/>
        <v>25520</v>
      </c>
      <c r="J175" s="4">
        <f t="shared" si="19"/>
        <v>9570</v>
      </c>
      <c r="K175" s="4">
        <v>18031</v>
      </c>
      <c r="L175" s="4">
        <f t="shared" si="20"/>
        <v>372121</v>
      </c>
      <c r="M175" s="4">
        <f t="shared" si="17"/>
        <v>297696.8</v>
      </c>
      <c r="N175" s="5">
        <f t="shared" si="21"/>
        <v>74424.200000000012</v>
      </c>
    </row>
    <row r="176" spans="1:14" x14ac:dyDescent="0.35">
      <c r="A176" t="s">
        <v>212</v>
      </c>
      <c r="B176" s="7">
        <v>45598</v>
      </c>
      <c r="C176" s="2" t="s">
        <v>17</v>
      </c>
      <c r="D176" s="2" t="s">
        <v>34</v>
      </c>
      <c r="E176" s="2" t="s">
        <v>35</v>
      </c>
      <c r="F176" t="s">
        <v>21</v>
      </c>
      <c r="G176" s="2">
        <v>1</v>
      </c>
      <c r="H176" s="3">
        <f t="shared" si="16"/>
        <v>359000</v>
      </c>
      <c r="I176" s="4">
        <f t="shared" si="18"/>
        <v>28720</v>
      </c>
      <c r="J176" s="4">
        <f t="shared" si="19"/>
        <v>10770</v>
      </c>
      <c r="K176" s="4">
        <v>11524</v>
      </c>
      <c r="L176" s="4">
        <f t="shared" si="20"/>
        <v>410014</v>
      </c>
      <c r="M176" s="4">
        <f t="shared" si="17"/>
        <v>328011.2</v>
      </c>
      <c r="N176" s="5">
        <f t="shared" si="21"/>
        <v>82002.799999999988</v>
      </c>
    </row>
    <row r="177" spans="1:14" x14ac:dyDescent="0.35">
      <c r="A177" t="s">
        <v>213</v>
      </c>
      <c r="B177" s="7">
        <v>45424</v>
      </c>
      <c r="C177" s="2" t="s">
        <v>18</v>
      </c>
      <c r="D177" s="2" t="s">
        <v>36</v>
      </c>
      <c r="E177" s="2" t="s">
        <v>37</v>
      </c>
      <c r="F177" t="s">
        <v>21</v>
      </c>
      <c r="G177" s="2">
        <v>5</v>
      </c>
      <c r="H177" s="3">
        <f t="shared" si="16"/>
        <v>359000</v>
      </c>
      <c r="I177" s="4">
        <f t="shared" si="18"/>
        <v>28720</v>
      </c>
      <c r="J177" s="4">
        <f t="shared" si="19"/>
        <v>10770</v>
      </c>
      <c r="K177" s="4">
        <v>21537</v>
      </c>
      <c r="L177" s="4">
        <f t="shared" si="20"/>
        <v>2100135</v>
      </c>
      <c r="M177" s="4">
        <f t="shared" si="17"/>
        <v>1680108</v>
      </c>
      <c r="N177" s="5">
        <f t="shared" si="21"/>
        <v>420027</v>
      </c>
    </row>
    <row r="178" spans="1:14" x14ac:dyDescent="0.35">
      <c r="A178" t="s">
        <v>214</v>
      </c>
      <c r="B178" s="7">
        <v>45577</v>
      </c>
      <c r="C178" s="2" t="s">
        <v>14</v>
      </c>
      <c r="D178" s="2" t="s">
        <v>22</v>
      </c>
      <c r="E178" s="2" t="s">
        <v>23</v>
      </c>
      <c r="F178" t="s">
        <v>19</v>
      </c>
      <c r="G178" s="2">
        <v>1</v>
      </c>
      <c r="H178" s="3">
        <f t="shared" si="16"/>
        <v>319000</v>
      </c>
      <c r="I178" s="4">
        <f t="shared" si="18"/>
        <v>25520</v>
      </c>
      <c r="J178" s="4">
        <f t="shared" si="19"/>
        <v>9570</v>
      </c>
      <c r="K178" s="4">
        <v>8006</v>
      </c>
      <c r="L178" s="4">
        <f t="shared" si="20"/>
        <v>362096</v>
      </c>
      <c r="M178" s="4">
        <f t="shared" si="17"/>
        <v>289676.79999999999</v>
      </c>
      <c r="N178" s="5">
        <f t="shared" si="21"/>
        <v>72419.200000000012</v>
      </c>
    </row>
    <row r="179" spans="1:14" x14ac:dyDescent="0.35">
      <c r="A179" t="s">
        <v>215</v>
      </c>
      <c r="B179" s="7">
        <v>45343</v>
      </c>
      <c r="C179" s="2" t="s">
        <v>14</v>
      </c>
      <c r="D179" s="2" t="s">
        <v>24</v>
      </c>
      <c r="E179" s="2" t="s">
        <v>25</v>
      </c>
      <c r="F179" t="s">
        <v>20</v>
      </c>
      <c r="G179" s="2">
        <v>5</v>
      </c>
      <c r="H179" s="3">
        <f t="shared" si="16"/>
        <v>345000</v>
      </c>
      <c r="I179" s="4">
        <f t="shared" si="18"/>
        <v>27600</v>
      </c>
      <c r="J179" s="4">
        <f t="shared" si="19"/>
        <v>10350</v>
      </c>
      <c r="K179" s="4">
        <v>13875</v>
      </c>
      <c r="L179" s="4">
        <f t="shared" si="20"/>
        <v>1984125</v>
      </c>
      <c r="M179" s="4">
        <f t="shared" si="17"/>
        <v>1587300</v>
      </c>
      <c r="N179" s="5">
        <f t="shared" si="21"/>
        <v>396825</v>
      </c>
    </row>
    <row r="180" spans="1:14" x14ac:dyDescent="0.35">
      <c r="A180" t="s">
        <v>216</v>
      </c>
      <c r="B180" s="7">
        <v>45326</v>
      </c>
      <c r="C180" s="2" t="s">
        <v>15</v>
      </c>
      <c r="D180" s="2" t="s">
        <v>26</v>
      </c>
      <c r="E180" s="2" t="s">
        <v>27</v>
      </c>
      <c r="F180" t="s">
        <v>21</v>
      </c>
      <c r="G180" s="2">
        <v>4</v>
      </c>
      <c r="H180" s="3">
        <f t="shared" si="16"/>
        <v>359000</v>
      </c>
      <c r="I180" s="4">
        <f t="shared" si="18"/>
        <v>28720</v>
      </c>
      <c r="J180" s="4">
        <f t="shared" si="19"/>
        <v>10770</v>
      </c>
      <c r="K180" s="4">
        <v>19449</v>
      </c>
      <c r="L180" s="4">
        <f t="shared" si="20"/>
        <v>1671756</v>
      </c>
      <c r="M180" s="4">
        <f t="shared" si="17"/>
        <v>1337404.8</v>
      </c>
      <c r="N180" s="5">
        <f t="shared" si="21"/>
        <v>334351.19999999995</v>
      </c>
    </row>
    <row r="181" spans="1:14" x14ac:dyDescent="0.35">
      <c r="A181" t="s">
        <v>217</v>
      </c>
      <c r="B181" s="7">
        <v>45409</v>
      </c>
      <c r="C181" s="2" t="s">
        <v>15</v>
      </c>
      <c r="D181" s="2" t="s">
        <v>28</v>
      </c>
      <c r="E181" s="2" t="s">
        <v>29</v>
      </c>
      <c r="F181" t="s">
        <v>20</v>
      </c>
      <c r="G181" s="2">
        <v>4</v>
      </c>
      <c r="H181" s="3">
        <f t="shared" si="16"/>
        <v>345000</v>
      </c>
      <c r="I181" s="4">
        <f t="shared" si="18"/>
        <v>27600</v>
      </c>
      <c r="J181" s="4">
        <f t="shared" si="19"/>
        <v>10350</v>
      </c>
      <c r="K181" s="4">
        <v>17858</v>
      </c>
      <c r="L181" s="4">
        <f t="shared" si="20"/>
        <v>1603232</v>
      </c>
      <c r="M181" s="4">
        <f t="shared" si="17"/>
        <v>1282585.6000000001</v>
      </c>
      <c r="N181" s="5">
        <f t="shared" si="21"/>
        <v>320646.39999999991</v>
      </c>
    </row>
    <row r="182" spans="1:14" x14ac:dyDescent="0.35">
      <c r="A182" t="s">
        <v>218</v>
      </c>
      <c r="B182" s="7">
        <v>45579</v>
      </c>
      <c r="C182" s="2" t="s">
        <v>16</v>
      </c>
      <c r="D182" s="2" t="s">
        <v>30</v>
      </c>
      <c r="E182" s="2" t="s">
        <v>31</v>
      </c>
      <c r="F182" t="s">
        <v>21</v>
      </c>
      <c r="G182" s="2">
        <v>4</v>
      </c>
      <c r="H182" s="3">
        <f t="shared" si="16"/>
        <v>359000</v>
      </c>
      <c r="I182" s="4">
        <f t="shared" si="18"/>
        <v>28720</v>
      </c>
      <c r="J182" s="4">
        <f t="shared" si="19"/>
        <v>10770</v>
      </c>
      <c r="K182" s="4">
        <v>6685</v>
      </c>
      <c r="L182" s="4">
        <f t="shared" si="20"/>
        <v>1620700</v>
      </c>
      <c r="M182" s="4">
        <f t="shared" si="17"/>
        <v>1296560</v>
      </c>
      <c r="N182" s="5">
        <f t="shared" si="21"/>
        <v>324140</v>
      </c>
    </row>
    <row r="183" spans="1:14" x14ac:dyDescent="0.35">
      <c r="A183" t="s">
        <v>219</v>
      </c>
      <c r="B183" s="7">
        <v>45438</v>
      </c>
      <c r="C183" s="2" t="s">
        <v>16</v>
      </c>
      <c r="D183" s="2" t="s">
        <v>32</v>
      </c>
      <c r="E183" s="2" t="s">
        <v>33</v>
      </c>
      <c r="F183" t="s">
        <v>19</v>
      </c>
      <c r="G183" s="2">
        <v>1</v>
      </c>
      <c r="H183" s="3">
        <f t="shared" si="16"/>
        <v>319000</v>
      </c>
      <c r="I183" s="4">
        <f t="shared" si="18"/>
        <v>25520</v>
      </c>
      <c r="J183" s="4">
        <f t="shared" si="19"/>
        <v>9570</v>
      </c>
      <c r="K183" s="4">
        <v>12769</v>
      </c>
      <c r="L183" s="4">
        <f t="shared" si="20"/>
        <v>366859</v>
      </c>
      <c r="M183" s="4">
        <f t="shared" si="17"/>
        <v>293487.2</v>
      </c>
      <c r="N183" s="5">
        <f t="shared" si="21"/>
        <v>73371.799999999988</v>
      </c>
    </row>
    <row r="184" spans="1:14" x14ac:dyDescent="0.35">
      <c r="A184" t="s">
        <v>220</v>
      </c>
      <c r="B184" s="7">
        <v>45537</v>
      </c>
      <c r="C184" s="2" t="s">
        <v>17</v>
      </c>
      <c r="D184" s="2" t="s">
        <v>34</v>
      </c>
      <c r="E184" s="2" t="s">
        <v>35</v>
      </c>
      <c r="F184" t="s">
        <v>21</v>
      </c>
      <c r="G184" s="2">
        <v>5</v>
      </c>
      <c r="H184" s="3">
        <f t="shared" si="16"/>
        <v>359000</v>
      </c>
      <c r="I184" s="4">
        <f t="shared" si="18"/>
        <v>28720</v>
      </c>
      <c r="J184" s="4">
        <f t="shared" si="19"/>
        <v>10770</v>
      </c>
      <c r="K184" s="4">
        <v>19625</v>
      </c>
      <c r="L184" s="4">
        <f t="shared" si="20"/>
        <v>2090575</v>
      </c>
      <c r="M184" s="4">
        <f t="shared" si="17"/>
        <v>1672460</v>
      </c>
      <c r="N184" s="5">
        <f t="shared" si="21"/>
        <v>418115</v>
      </c>
    </row>
    <row r="185" spans="1:14" x14ac:dyDescent="0.35">
      <c r="A185" t="s">
        <v>221</v>
      </c>
      <c r="B185" s="7">
        <v>45592</v>
      </c>
      <c r="C185" s="2" t="s">
        <v>18</v>
      </c>
      <c r="D185" s="2" t="s">
        <v>36</v>
      </c>
      <c r="E185" s="2" t="s">
        <v>37</v>
      </c>
      <c r="F185" t="s">
        <v>21</v>
      </c>
      <c r="G185" s="2">
        <v>1</v>
      </c>
      <c r="H185" s="3">
        <f t="shared" si="16"/>
        <v>359000</v>
      </c>
      <c r="I185" s="4">
        <f t="shared" si="18"/>
        <v>28720</v>
      </c>
      <c r="J185" s="4">
        <f t="shared" si="19"/>
        <v>10770</v>
      </c>
      <c r="K185" s="4">
        <v>6958</v>
      </c>
      <c r="L185" s="4">
        <f t="shared" si="20"/>
        <v>405448</v>
      </c>
      <c r="M185" s="4">
        <f t="shared" si="17"/>
        <v>324358.40000000002</v>
      </c>
      <c r="N185" s="5">
        <f t="shared" si="21"/>
        <v>81089.599999999977</v>
      </c>
    </row>
    <row r="186" spans="1:14" x14ac:dyDescent="0.35">
      <c r="A186" t="s">
        <v>222</v>
      </c>
      <c r="B186" s="7">
        <v>45549</v>
      </c>
      <c r="C186" s="2" t="s">
        <v>14</v>
      </c>
      <c r="D186" s="2" t="s">
        <v>22</v>
      </c>
      <c r="E186" s="2" t="s">
        <v>23</v>
      </c>
      <c r="F186" t="s">
        <v>19</v>
      </c>
      <c r="G186" s="2">
        <v>4</v>
      </c>
      <c r="H186" s="3">
        <f t="shared" si="16"/>
        <v>319000</v>
      </c>
      <c r="I186" s="4">
        <f t="shared" si="18"/>
        <v>25520</v>
      </c>
      <c r="J186" s="4">
        <f t="shared" si="19"/>
        <v>9570</v>
      </c>
      <c r="K186" s="4">
        <v>10581</v>
      </c>
      <c r="L186" s="4">
        <f t="shared" si="20"/>
        <v>1458684</v>
      </c>
      <c r="M186" s="4">
        <f t="shared" si="17"/>
        <v>1166947.2</v>
      </c>
      <c r="N186" s="5">
        <f t="shared" si="21"/>
        <v>291736.80000000005</v>
      </c>
    </row>
    <row r="187" spans="1:14" x14ac:dyDescent="0.35">
      <c r="A187" t="s">
        <v>223</v>
      </c>
      <c r="B187" s="7">
        <v>45635</v>
      </c>
      <c r="C187" s="2" t="s">
        <v>14</v>
      </c>
      <c r="D187" s="2" t="s">
        <v>24</v>
      </c>
      <c r="E187" s="2" t="s">
        <v>25</v>
      </c>
      <c r="F187" t="s">
        <v>20</v>
      </c>
      <c r="G187" s="2">
        <v>3</v>
      </c>
      <c r="H187" s="3">
        <f t="shared" si="16"/>
        <v>345000</v>
      </c>
      <c r="I187" s="4">
        <f t="shared" si="18"/>
        <v>27600</v>
      </c>
      <c r="J187" s="4">
        <f t="shared" si="19"/>
        <v>10350</v>
      </c>
      <c r="K187" s="4">
        <v>13004</v>
      </c>
      <c r="L187" s="4">
        <f t="shared" si="20"/>
        <v>1187862</v>
      </c>
      <c r="M187" s="4">
        <f t="shared" si="17"/>
        <v>950289.60000000009</v>
      </c>
      <c r="N187" s="5">
        <f t="shared" si="21"/>
        <v>237572.39999999991</v>
      </c>
    </row>
    <row r="188" spans="1:14" x14ac:dyDescent="0.35">
      <c r="A188" t="s">
        <v>224</v>
      </c>
      <c r="B188" s="7">
        <v>45465</v>
      </c>
      <c r="C188" s="2" t="s">
        <v>15</v>
      </c>
      <c r="D188" s="2" t="s">
        <v>26</v>
      </c>
      <c r="E188" s="2" t="s">
        <v>27</v>
      </c>
      <c r="F188" t="s">
        <v>21</v>
      </c>
      <c r="G188" s="2">
        <v>3</v>
      </c>
      <c r="H188" s="3">
        <f t="shared" si="16"/>
        <v>359000</v>
      </c>
      <c r="I188" s="4">
        <f t="shared" si="18"/>
        <v>28720</v>
      </c>
      <c r="J188" s="4">
        <f t="shared" si="19"/>
        <v>10770</v>
      </c>
      <c r="K188" s="4">
        <v>20766</v>
      </c>
      <c r="L188" s="4">
        <f t="shared" si="20"/>
        <v>1257768</v>
      </c>
      <c r="M188" s="4">
        <f t="shared" si="17"/>
        <v>1006214.4</v>
      </c>
      <c r="N188" s="5">
        <f t="shared" si="21"/>
        <v>251553.59999999998</v>
      </c>
    </row>
    <row r="189" spans="1:14" x14ac:dyDescent="0.35">
      <c r="A189" t="s">
        <v>225</v>
      </c>
      <c r="B189" s="7">
        <v>45577</v>
      </c>
      <c r="C189" s="2" t="s">
        <v>15</v>
      </c>
      <c r="D189" s="2" t="s">
        <v>28</v>
      </c>
      <c r="E189" s="2" t="s">
        <v>29</v>
      </c>
      <c r="F189" t="s">
        <v>20</v>
      </c>
      <c r="G189" s="2">
        <v>4</v>
      </c>
      <c r="H189" s="3">
        <f t="shared" si="16"/>
        <v>345000</v>
      </c>
      <c r="I189" s="4">
        <f t="shared" si="18"/>
        <v>27600</v>
      </c>
      <c r="J189" s="4">
        <f t="shared" si="19"/>
        <v>10350</v>
      </c>
      <c r="K189" s="4">
        <v>8424</v>
      </c>
      <c r="L189" s="4">
        <f t="shared" si="20"/>
        <v>1565496</v>
      </c>
      <c r="M189" s="4">
        <f t="shared" si="17"/>
        <v>1252396.8</v>
      </c>
      <c r="N189" s="5">
        <f t="shared" si="21"/>
        <v>313099.19999999995</v>
      </c>
    </row>
    <row r="190" spans="1:14" x14ac:dyDescent="0.35">
      <c r="A190" t="s">
        <v>226</v>
      </c>
      <c r="B190" s="7">
        <v>45631</v>
      </c>
      <c r="C190" s="2" t="s">
        <v>16</v>
      </c>
      <c r="D190" s="2" t="s">
        <v>30</v>
      </c>
      <c r="E190" s="2" t="s">
        <v>31</v>
      </c>
      <c r="F190" t="s">
        <v>21</v>
      </c>
      <c r="G190" s="2">
        <v>1</v>
      </c>
      <c r="H190" s="3">
        <f t="shared" si="16"/>
        <v>359000</v>
      </c>
      <c r="I190" s="4">
        <f t="shared" si="18"/>
        <v>28720</v>
      </c>
      <c r="J190" s="4">
        <f t="shared" si="19"/>
        <v>10770</v>
      </c>
      <c r="K190" s="4">
        <v>5789</v>
      </c>
      <c r="L190" s="4">
        <f t="shared" si="20"/>
        <v>404279</v>
      </c>
      <c r="M190" s="4">
        <f t="shared" si="17"/>
        <v>323423.2</v>
      </c>
      <c r="N190" s="5">
        <f t="shared" si="21"/>
        <v>80855.799999999988</v>
      </c>
    </row>
    <row r="191" spans="1:14" x14ac:dyDescent="0.35">
      <c r="A191" t="s">
        <v>227</v>
      </c>
      <c r="B191" s="7">
        <v>45344</v>
      </c>
      <c r="C191" s="2" t="s">
        <v>16</v>
      </c>
      <c r="D191" s="2" t="s">
        <v>32</v>
      </c>
      <c r="E191" s="2" t="s">
        <v>33</v>
      </c>
      <c r="F191" t="s">
        <v>19</v>
      </c>
      <c r="G191" s="2">
        <v>2</v>
      </c>
      <c r="H191" s="3">
        <f t="shared" si="16"/>
        <v>319000</v>
      </c>
      <c r="I191" s="4">
        <f t="shared" si="18"/>
        <v>25520</v>
      </c>
      <c r="J191" s="4">
        <f t="shared" si="19"/>
        <v>9570</v>
      </c>
      <c r="K191" s="4">
        <v>10015</v>
      </c>
      <c r="L191" s="4">
        <f t="shared" si="20"/>
        <v>728210</v>
      </c>
      <c r="M191" s="4">
        <f t="shared" si="17"/>
        <v>582568</v>
      </c>
      <c r="N191" s="5">
        <f t="shared" si="21"/>
        <v>145642</v>
      </c>
    </row>
    <row r="192" spans="1:14" x14ac:dyDescent="0.35">
      <c r="A192" t="s">
        <v>228</v>
      </c>
      <c r="B192" s="7">
        <v>45615</v>
      </c>
      <c r="C192" s="2" t="s">
        <v>17</v>
      </c>
      <c r="D192" s="2" t="s">
        <v>34</v>
      </c>
      <c r="E192" s="2" t="s">
        <v>35</v>
      </c>
      <c r="F192" t="s">
        <v>21</v>
      </c>
      <c r="G192" s="2">
        <v>5</v>
      </c>
      <c r="H192" s="3">
        <f t="shared" si="16"/>
        <v>359000</v>
      </c>
      <c r="I192" s="4">
        <f t="shared" si="18"/>
        <v>28720</v>
      </c>
      <c r="J192" s="4">
        <f t="shared" si="19"/>
        <v>10770</v>
      </c>
      <c r="K192" s="4">
        <v>11208</v>
      </c>
      <c r="L192" s="4">
        <f t="shared" si="20"/>
        <v>2048490</v>
      </c>
      <c r="M192" s="4">
        <f t="shared" si="17"/>
        <v>1638792</v>
      </c>
      <c r="N192" s="5">
        <f t="shared" si="21"/>
        <v>409698</v>
      </c>
    </row>
    <row r="193" spans="1:14" x14ac:dyDescent="0.35">
      <c r="A193" t="s">
        <v>229</v>
      </c>
      <c r="B193" s="7">
        <v>45331</v>
      </c>
      <c r="C193" s="2" t="s">
        <v>18</v>
      </c>
      <c r="D193" s="2" t="s">
        <v>36</v>
      </c>
      <c r="E193" s="2" t="s">
        <v>37</v>
      </c>
      <c r="F193" t="s">
        <v>21</v>
      </c>
      <c r="G193" s="2">
        <v>3</v>
      </c>
      <c r="H193" s="3">
        <f t="shared" si="16"/>
        <v>359000</v>
      </c>
      <c r="I193" s="4">
        <f t="shared" si="18"/>
        <v>28720</v>
      </c>
      <c r="J193" s="4">
        <f t="shared" si="19"/>
        <v>10770</v>
      </c>
      <c r="K193" s="4">
        <v>11588</v>
      </c>
      <c r="L193" s="4">
        <f t="shared" si="20"/>
        <v>1230234</v>
      </c>
      <c r="M193" s="4">
        <f t="shared" si="17"/>
        <v>984187.20000000007</v>
      </c>
      <c r="N193" s="5">
        <f t="shared" si="21"/>
        <v>246046.79999999993</v>
      </c>
    </row>
    <row r="194" spans="1:14" x14ac:dyDescent="0.35">
      <c r="A194" t="s">
        <v>230</v>
      </c>
      <c r="B194" s="7">
        <v>45602</v>
      </c>
      <c r="C194" s="2" t="s">
        <v>14</v>
      </c>
      <c r="D194" s="2" t="s">
        <v>22</v>
      </c>
      <c r="E194" s="2" t="s">
        <v>23</v>
      </c>
      <c r="F194" t="s">
        <v>19</v>
      </c>
      <c r="G194" s="2">
        <v>3</v>
      </c>
      <c r="H194" s="3">
        <f t="shared" ref="H194:H257" si="22">IF(TRIM(F194)="Standard",319000,IF(TRIM(F194)="Custom",345000,IF(TRIM(F194)="Chrome",359000,"")))</f>
        <v>319000</v>
      </c>
      <c r="I194" s="4">
        <f t="shared" si="18"/>
        <v>25520</v>
      </c>
      <c r="J194" s="4">
        <f t="shared" si="19"/>
        <v>9570</v>
      </c>
      <c r="K194" s="4">
        <v>23481</v>
      </c>
      <c r="L194" s="4">
        <f t="shared" si="20"/>
        <v>1132713</v>
      </c>
      <c r="M194" s="4">
        <f t="shared" si="17"/>
        <v>906170.4</v>
      </c>
      <c r="N194" s="5">
        <f t="shared" si="21"/>
        <v>226542.59999999998</v>
      </c>
    </row>
    <row r="195" spans="1:14" x14ac:dyDescent="0.35">
      <c r="A195" t="s">
        <v>231</v>
      </c>
      <c r="B195" s="7">
        <v>45350</v>
      </c>
      <c r="C195" s="2" t="s">
        <v>14</v>
      </c>
      <c r="D195" s="2" t="s">
        <v>24</v>
      </c>
      <c r="E195" s="2" t="s">
        <v>25</v>
      </c>
      <c r="F195" t="s">
        <v>20</v>
      </c>
      <c r="G195" s="2">
        <v>4</v>
      </c>
      <c r="H195" s="3">
        <f t="shared" si="22"/>
        <v>345000</v>
      </c>
      <c r="I195" s="4">
        <f t="shared" si="18"/>
        <v>27600</v>
      </c>
      <c r="J195" s="4">
        <f t="shared" si="19"/>
        <v>10350</v>
      </c>
      <c r="K195" s="4">
        <v>15035</v>
      </c>
      <c r="L195" s="4">
        <f t="shared" si="20"/>
        <v>1591940</v>
      </c>
      <c r="M195" s="4">
        <f t="shared" ref="M195:M258" si="23">L195*0.8</f>
        <v>1273552</v>
      </c>
      <c r="N195" s="5">
        <f t="shared" si="21"/>
        <v>318388</v>
      </c>
    </row>
    <row r="196" spans="1:14" x14ac:dyDescent="0.35">
      <c r="A196" t="s">
        <v>232</v>
      </c>
      <c r="B196" s="7">
        <v>45361</v>
      </c>
      <c r="C196" s="2" t="s">
        <v>15</v>
      </c>
      <c r="D196" s="2" t="s">
        <v>26</v>
      </c>
      <c r="E196" s="2" t="s">
        <v>27</v>
      </c>
      <c r="F196" t="s">
        <v>21</v>
      </c>
      <c r="G196" s="2">
        <v>4</v>
      </c>
      <c r="H196" s="3">
        <f t="shared" si="22"/>
        <v>359000</v>
      </c>
      <c r="I196" s="4">
        <f t="shared" si="18"/>
        <v>28720</v>
      </c>
      <c r="J196" s="4">
        <f t="shared" si="19"/>
        <v>10770</v>
      </c>
      <c r="K196" s="4">
        <v>7944</v>
      </c>
      <c r="L196" s="4">
        <f t="shared" si="20"/>
        <v>1625736</v>
      </c>
      <c r="M196" s="4">
        <f t="shared" si="23"/>
        <v>1300588.8</v>
      </c>
      <c r="N196" s="5">
        <f t="shared" si="21"/>
        <v>325147.19999999995</v>
      </c>
    </row>
    <row r="197" spans="1:14" x14ac:dyDescent="0.35">
      <c r="A197" t="s">
        <v>233</v>
      </c>
      <c r="B197" s="7">
        <v>45431</v>
      </c>
      <c r="C197" s="2" t="s">
        <v>15</v>
      </c>
      <c r="D197" s="2" t="s">
        <v>28</v>
      </c>
      <c r="E197" s="2" t="s">
        <v>29</v>
      </c>
      <c r="F197" t="s">
        <v>20</v>
      </c>
      <c r="G197" s="2">
        <v>3</v>
      </c>
      <c r="H197" s="3">
        <f t="shared" si="22"/>
        <v>345000</v>
      </c>
      <c r="I197" s="4">
        <f t="shared" si="18"/>
        <v>27600</v>
      </c>
      <c r="J197" s="4">
        <f t="shared" si="19"/>
        <v>10350</v>
      </c>
      <c r="K197" s="4">
        <v>24785</v>
      </c>
      <c r="L197" s="4">
        <f t="shared" si="20"/>
        <v>1223205</v>
      </c>
      <c r="M197" s="4">
        <f t="shared" si="23"/>
        <v>978564</v>
      </c>
      <c r="N197" s="5">
        <f t="shared" si="21"/>
        <v>244641</v>
      </c>
    </row>
    <row r="198" spans="1:14" x14ac:dyDescent="0.35">
      <c r="A198" t="s">
        <v>234</v>
      </c>
      <c r="B198" s="7">
        <v>45477</v>
      </c>
      <c r="C198" s="2" t="s">
        <v>16</v>
      </c>
      <c r="D198" s="2" t="s">
        <v>30</v>
      </c>
      <c r="E198" s="2" t="s">
        <v>31</v>
      </c>
      <c r="F198" t="s">
        <v>21</v>
      </c>
      <c r="G198" s="2">
        <v>4</v>
      </c>
      <c r="H198" s="3">
        <f t="shared" si="22"/>
        <v>359000</v>
      </c>
      <c r="I198" s="4">
        <f t="shared" si="18"/>
        <v>28720</v>
      </c>
      <c r="J198" s="4">
        <f t="shared" si="19"/>
        <v>10770</v>
      </c>
      <c r="K198" s="4">
        <v>18245</v>
      </c>
      <c r="L198" s="4">
        <f t="shared" si="20"/>
        <v>1666940</v>
      </c>
      <c r="M198" s="4">
        <f t="shared" si="23"/>
        <v>1333552</v>
      </c>
      <c r="N198" s="5">
        <f t="shared" si="21"/>
        <v>333388</v>
      </c>
    </row>
    <row r="199" spans="1:14" x14ac:dyDescent="0.35">
      <c r="A199" t="s">
        <v>235</v>
      </c>
      <c r="B199" s="7">
        <v>45511</v>
      </c>
      <c r="C199" s="2" t="s">
        <v>16</v>
      </c>
      <c r="D199" s="2" t="s">
        <v>32</v>
      </c>
      <c r="E199" s="2" t="s">
        <v>33</v>
      </c>
      <c r="F199" t="s">
        <v>19</v>
      </c>
      <c r="G199" s="2">
        <v>1</v>
      </c>
      <c r="H199" s="3">
        <f t="shared" si="22"/>
        <v>319000</v>
      </c>
      <c r="I199" s="4">
        <f t="shared" si="18"/>
        <v>25520</v>
      </c>
      <c r="J199" s="4">
        <f t="shared" si="19"/>
        <v>9570</v>
      </c>
      <c r="K199" s="4">
        <v>13832</v>
      </c>
      <c r="L199" s="4">
        <f t="shared" si="20"/>
        <v>367922</v>
      </c>
      <c r="M199" s="4">
        <f t="shared" si="23"/>
        <v>294337.60000000003</v>
      </c>
      <c r="N199" s="5">
        <f t="shared" si="21"/>
        <v>73584.399999999965</v>
      </c>
    </row>
    <row r="200" spans="1:14" x14ac:dyDescent="0.35">
      <c r="A200" t="s">
        <v>236</v>
      </c>
      <c r="B200" s="7">
        <v>45397</v>
      </c>
      <c r="C200" s="2" t="s">
        <v>17</v>
      </c>
      <c r="D200" s="2" t="s">
        <v>34</v>
      </c>
      <c r="E200" s="2" t="s">
        <v>35</v>
      </c>
      <c r="F200" t="s">
        <v>21</v>
      </c>
      <c r="G200" s="2">
        <v>1</v>
      </c>
      <c r="H200" s="3">
        <f t="shared" si="22"/>
        <v>359000</v>
      </c>
      <c r="I200" s="4">
        <f t="shared" si="18"/>
        <v>28720</v>
      </c>
      <c r="J200" s="4">
        <f t="shared" si="19"/>
        <v>10770</v>
      </c>
      <c r="K200" s="4">
        <v>7669</v>
      </c>
      <c r="L200" s="4">
        <f t="shared" si="20"/>
        <v>406159</v>
      </c>
      <c r="M200" s="4">
        <f t="shared" si="23"/>
        <v>324927.2</v>
      </c>
      <c r="N200" s="5">
        <f t="shared" si="21"/>
        <v>81231.799999999988</v>
      </c>
    </row>
    <row r="201" spans="1:14" x14ac:dyDescent="0.35">
      <c r="A201" t="s">
        <v>237</v>
      </c>
      <c r="B201" s="7">
        <v>45333</v>
      </c>
      <c r="C201" s="2" t="s">
        <v>18</v>
      </c>
      <c r="D201" s="2" t="s">
        <v>36</v>
      </c>
      <c r="E201" s="2" t="s">
        <v>37</v>
      </c>
      <c r="F201" t="s">
        <v>21</v>
      </c>
      <c r="G201" s="2">
        <v>1</v>
      </c>
      <c r="H201" s="3">
        <f t="shared" si="22"/>
        <v>359000</v>
      </c>
      <c r="I201" s="4">
        <f t="shared" si="18"/>
        <v>28720</v>
      </c>
      <c r="J201" s="4">
        <f t="shared" si="19"/>
        <v>10770</v>
      </c>
      <c r="K201" s="4">
        <v>20795</v>
      </c>
      <c r="L201" s="4">
        <f t="shared" si="20"/>
        <v>419285</v>
      </c>
      <c r="M201" s="4">
        <f t="shared" si="23"/>
        <v>335428</v>
      </c>
      <c r="N201" s="5">
        <f t="shared" si="21"/>
        <v>83857</v>
      </c>
    </row>
    <row r="202" spans="1:14" x14ac:dyDescent="0.35">
      <c r="A202" t="s">
        <v>238</v>
      </c>
      <c r="B202" s="7">
        <v>45392</v>
      </c>
      <c r="C202" s="2" t="s">
        <v>14</v>
      </c>
      <c r="D202" s="2" t="s">
        <v>22</v>
      </c>
      <c r="E202" s="2" t="s">
        <v>23</v>
      </c>
      <c r="F202" t="s">
        <v>19</v>
      </c>
      <c r="G202" s="2">
        <v>5</v>
      </c>
      <c r="H202" s="3">
        <f t="shared" si="22"/>
        <v>319000</v>
      </c>
      <c r="I202" s="4">
        <f t="shared" ref="I202:I265" si="24">H202*0.08</f>
        <v>25520</v>
      </c>
      <c r="J202" s="4">
        <f t="shared" ref="J202:J265" si="25">H202*0.03</f>
        <v>9570</v>
      </c>
      <c r="K202" s="4">
        <v>21490</v>
      </c>
      <c r="L202" s="4">
        <f t="shared" ref="L202:L265" si="26">G202*(H202+I202+J202+K202)</f>
        <v>1877900</v>
      </c>
      <c r="M202" s="4">
        <f t="shared" si="23"/>
        <v>1502320</v>
      </c>
      <c r="N202" s="5">
        <f t="shared" ref="N202:N265" si="27">L202-M202</f>
        <v>375580</v>
      </c>
    </row>
    <row r="203" spans="1:14" x14ac:dyDescent="0.35">
      <c r="A203" t="s">
        <v>239</v>
      </c>
      <c r="B203" s="7">
        <v>45464</v>
      </c>
      <c r="C203" s="2" t="s">
        <v>14</v>
      </c>
      <c r="D203" s="2" t="s">
        <v>24</v>
      </c>
      <c r="E203" s="2" t="s">
        <v>25</v>
      </c>
      <c r="F203" t="s">
        <v>20</v>
      </c>
      <c r="G203" s="2">
        <v>3</v>
      </c>
      <c r="H203" s="3">
        <f t="shared" si="22"/>
        <v>345000</v>
      </c>
      <c r="I203" s="4">
        <f t="shared" si="24"/>
        <v>27600</v>
      </c>
      <c r="J203" s="4">
        <f t="shared" si="25"/>
        <v>10350</v>
      </c>
      <c r="K203" s="4">
        <v>10502</v>
      </c>
      <c r="L203" s="4">
        <f t="shared" si="26"/>
        <v>1180356</v>
      </c>
      <c r="M203" s="4">
        <f t="shared" si="23"/>
        <v>944284.8</v>
      </c>
      <c r="N203" s="5">
        <f t="shared" si="27"/>
        <v>236071.19999999995</v>
      </c>
    </row>
    <row r="204" spans="1:14" x14ac:dyDescent="0.35">
      <c r="A204" t="s">
        <v>240</v>
      </c>
      <c r="B204" s="7">
        <v>45335</v>
      </c>
      <c r="C204" s="2" t="s">
        <v>15</v>
      </c>
      <c r="D204" s="2" t="s">
        <v>26</v>
      </c>
      <c r="E204" s="2" t="s">
        <v>27</v>
      </c>
      <c r="F204" t="s">
        <v>21</v>
      </c>
      <c r="G204" s="2">
        <v>2</v>
      </c>
      <c r="H204" s="3">
        <f t="shared" si="22"/>
        <v>359000</v>
      </c>
      <c r="I204" s="4">
        <f t="shared" si="24"/>
        <v>28720</v>
      </c>
      <c r="J204" s="4">
        <f t="shared" si="25"/>
        <v>10770</v>
      </c>
      <c r="K204" s="4">
        <v>8565</v>
      </c>
      <c r="L204" s="4">
        <f t="shared" si="26"/>
        <v>814110</v>
      </c>
      <c r="M204" s="4">
        <f t="shared" si="23"/>
        <v>651288</v>
      </c>
      <c r="N204" s="5">
        <f t="shared" si="27"/>
        <v>162822</v>
      </c>
    </row>
    <row r="205" spans="1:14" x14ac:dyDescent="0.35">
      <c r="A205" t="s">
        <v>241</v>
      </c>
      <c r="B205" s="7">
        <v>45346</v>
      </c>
      <c r="C205" s="2" t="s">
        <v>15</v>
      </c>
      <c r="D205" s="2" t="s">
        <v>28</v>
      </c>
      <c r="E205" s="2" t="s">
        <v>29</v>
      </c>
      <c r="F205" t="s">
        <v>20</v>
      </c>
      <c r="G205" s="2">
        <v>5</v>
      </c>
      <c r="H205" s="3">
        <f t="shared" si="22"/>
        <v>345000</v>
      </c>
      <c r="I205" s="4">
        <f t="shared" si="24"/>
        <v>27600</v>
      </c>
      <c r="J205" s="4">
        <f t="shared" si="25"/>
        <v>10350</v>
      </c>
      <c r="K205" s="4">
        <v>17580</v>
      </c>
      <c r="L205" s="4">
        <f t="shared" si="26"/>
        <v>2002650</v>
      </c>
      <c r="M205" s="4">
        <f t="shared" si="23"/>
        <v>1602120</v>
      </c>
      <c r="N205" s="5">
        <f t="shared" si="27"/>
        <v>400530</v>
      </c>
    </row>
    <row r="206" spans="1:14" x14ac:dyDescent="0.35">
      <c r="A206" t="s">
        <v>242</v>
      </c>
      <c r="B206" s="7">
        <v>45536</v>
      </c>
      <c r="C206" s="2" t="s">
        <v>16</v>
      </c>
      <c r="D206" s="2" t="s">
        <v>30</v>
      </c>
      <c r="E206" s="2" t="s">
        <v>31</v>
      </c>
      <c r="F206" t="s">
        <v>21</v>
      </c>
      <c r="G206" s="2">
        <v>1</v>
      </c>
      <c r="H206" s="3">
        <f t="shared" si="22"/>
        <v>359000</v>
      </c>
      <c r="I206" s="4">
        <f t="shared" si="24"/>
        <v>28720</v>
      </c>
      <c r="J206" s="4">
        <f t="shared" si="25"/>
        <v>10770</v>
      </c>
      <c r="K206" s="4">
        <v>9148</v>
      </c>
      <c r="L206" s="4">
        <f t="shared" si="26"/>
        <v>407638</v>
      </c>
      <c r="M206" s="4">
        <f t="shared" si="23"/>
        <v>326110.40000000002</v>
      </c>
      <c r="N206" s="5">
        <f t="shared" si="27"/>
        <v>81527.599999999977</v>
      </c>
    </row>
    <row r="207" spans="1:14" x14ac:dyDescent="0.35">
      <c r="A207" t="s">
        <v>243</v>
      </c>
      <c r="B207" s="7">
        <v>45328</v>
      </c>
      <c r="C207" s="2" t="s">
        <v>16</v>
      </c>
      <c r="D207" s="2" t="s">
        <v>32</v>
      </c>
      <c r="E207" s="2" t="s">
        <v>33</v>
      </c>
      <c r="F207" t="s">
        <v>19</v>
      </c>
      <c r="G207" s="2">
        <v>1</v>
      </c>
      <c r="H207" s="3">
        <f t="shared" si="22"/>
        <v>319000</v>
      </c>
      <c r="I207" s="4">
        <f t="shared" si="24"/>
        <v>25520</v>
      </c>
      <c r="J207" s="4">
        <f t="shared" si="25"/>
        <v>9570</v>
      </c>
      <c r="K207" s="4">
        <v>11930</v>
      </c>
      <c r="L207" s="4">
        <f t="shared" si="26"/>
        <v>366020</v>
      </c>
      <c r="M207" s="4">
        <f t="shared" si="23"/>
        <v>292816</v>
      </c>
      <c r="N207" s="5">
        <f t="shared" si="27"/>
        <v>73204</v>
      </c>
    </row>
    <row r="208" spans="1:14" x14ac:dyDescent="0.35">
      <c r="A208" t="s">
        <v>244</v>
      </c>
      <c r="B208" s="7">
        <v>45298</v>
      </c>
      <c r="C208" s="2" t="s">
        <v>17</v>
      </c>
      <c r="D208" s="2" t="s">
        <v>34</v>
      </c>
      <c r="E208" s="2" t="s">
        <v>35</v>
      </c>
      <c r="F208" t="s">
        <v>21</v>
      </c>
      <c r="G208" s="2">
        <v>4</v>
      </c>
      <c r="H208" s="3">
        <f t="shared" si="22"/>
        <v>359000</v>
      </c>
      <c r="I208" s="4">
        <f t="shared" si="24"/>
        <v>28720</v>
      </c>
      <c r="J208" s="4">
        <f t="shared" si="25"/>
        <v>10770</v>
      </c>
      <c r="K208" s="4">
        <v>16445</v>
      </c>
      <c r="L208" s="4">
        <f t="shared" si="26"/>
        <v>1659740</v>
      </c>
      <c r="M208" s="4">
        <f t="shared" si="23"/>
        <v>1327792</v>
      </c>
      <c r="N208" s="5">
        <f t="shared" si="27"/>
        <v>331948</v>
      </c>
    </row>
    <row r="209" spans="1:14" x14ac:dyDescent="0.35">
      <c r="A209" t="s">
        <v>245</v>
      </c>
      <c r="B209" s="7">
        <v>45569</v>
      </c>
      <c r="C209" s="2" t="s">
        <v>18</v>
      </c>
      <c r="D209" s="2" t="s">
        <v>36</v>
      </c>
      <c r="E209" s="2" t="s">
        <v>37</v>
      </c>
      <c r="F209" t="s">
        <v>21</v>
      </c>
      <c r="G209" s="2">
        <v>4</v>
      </c>
      <c r="H209" s="3">
        <f t="shared" si="22"/>
        <v>359000</v>
      </c>
      <c r="I209" s="4">
        <f t="shared" si="24"/>
        <v>28720</v>
      </c>
      <c r="J209" s="4">
        <f t="shared" si="25"/>
        <v>10770</v>
      </c>
      <c r="K209" s="4">
        <v>15015</v>
      </c>
      <c r="L209" s="4">
        <f t="shared" si="26"/>
        <v>1654020</v>
      </c>
      <c r="M209" s="4">
        <f t="shared" si="23"/>
        <v>1323216</v>
      </c>
      <c r="N209" s="5">
        <f t="shared" si="27"/>
        <v>330804</v>
      </c>
    </row>
    <row r="210" spans="1:14" x14ac:dyDescent="0.35">
      <c r="A210" t="s">
        <v>246</v>
      </c>
      <c r="B210" s="7">
        <v>45365</v>
      </c>
      <c r="C210" s="2" t="s">
        <v>14</v>
      </c>
      <c r="D210" s="2" t="s">
        <v>22</v>
      </c>
      <c r="E210" s="2" t="s">
        <v>23</v>
      </c>
      <c r="F210" t="s">
        <v>19</v>
      </c>
      <c r="G210" s="2">
        <v>3</v>
      </c>
      <c r="H210" s="3">
        <f t="shared" si="22"/>
        <v>319000</v>
      </c>
      <c r="I210" s="4">
        <f t="shared" si="24"/>
        <v>25520</v>
      </c>
      <c r="J210" s="4">
        <f t="shared" si="25"/>
        <v>9570</v>
      </c>
      <c r="K210" s="4">
        <v>18528</v>
      </c>
      <c r="L210" s="4">
        <f t="shared" si="26"/>
        <v>1117854</v>
      </c>
      <c r="M210" s="4">
        <f t="shared" si="23"/>
        <v>894283.20000000007</v>
      </c>
      <c r="N210" s="5">
        <f t="shared" si="27"/>
        <v>223570.79999999993</v>
      </c>
    </row>
    <row r="211" spans="1:14" x14ac:dyDescent="0.35">
      <c r="A211" t="s">
        <v>247</v>
      </c>
      <c r="B211" s="7">
        <v>45448</v>
      </c>
      <c r="C211" s="2" t="s">
        <v>14</v>
      </c>
      <c r="D211" s="2" t="s">
        <v>24</v>
      </c>
      <c r="E211" s="2" t="s">
        <v>25</v>
      </c>
      <c r="F211" t="s">
        <v>20</v>
      </c>
      <c r="G211" s="2">
        <v>3</v>
      </c>
      <c r="H211" s="3">
        <f t="shared" si="22"/>
        <v>345000</v>
      </c>
      <c r="I211" s="4">
        <f t="shared" si="24"/>
        <v>27600</v>
      </c>
      <c r="J211" s="4">
        <f t="shared" si="25"/>
        <v>10350</v>
      </c>
      <c r="K211" s="4">
        <v>10510</v>
      </c>
      <c r="L211" s="4">
        <f t="shared" si="26"/>
        <v>1180380</v>
      </c>
      <c r="M211" s="4">
        <f t="shared" si="23"/>
        <v>944304</v>
      </c>
      <c r="N211" s="5">
        <f t="shared" si="27"/>
        <v>236076</v>
      </c>
    </row>
    <row r="212" spans="1:14" x14ac:dyDescent="0.35">
      <c r="A212" t="s">
        <v>248</v>
      </c>
      <c r="B212" s="7">
        <v>45405</v>
      </c>
      <c r="C212" s="2" t="s">
        <v>15</v>
      </c>
      <c r="D212" s="2" t="s">
        <v>26</v>
      </c>
      <c r="E212" s="2" t="s">
        <v>27</v>
      </c>
      <c r="F212" t="s">
        <v>21</v>
      </c>
      <c r="G212" s="2">
        <v>5</v>
      </c>
      <c r="H212" s="3">
        <f t="shared" si="22"/>
        <v>359000</v>
      </c>
      <c r="I212" s="4">
        <f t="shared" si="24"/>
        <v>28720</v>
      </c>
      <c r="J212" s="4">
        <f t="shared" si="25"/>
        <v>10770</v>
      </c>
      <c r="K212" s="4">
        <v>20804</v>
      </c>
      <c r="L212" s="4">
        <f t="shared" si="26"/>
        <v>2096470</v>
      </c>
      <c r="M212" s="4">
        <f t="shared" si="23"/>
        <v>1677176</v>
      </c>
      <c r="N212" s="5">
        <f t="shared" si="27"/>
        <v>419294</v>
      </c>
    </row>
    <row r="213" spans="1:14" x14ac:dyDescent="0.35">
      <c r="A213" t="s">
        <v>249</v>
      </c>
      <c r="B213" s="7">
        <v>45449</v>
      </c>
      <c r="C213" s="2" t="s">
        <v>15</v>
      </c>
      <c r="D213" s="2" t="s">
        <v>28</v>
      </c>
      <c r="E213" s="2" t="s">
        <v>29</v>
      </c>
      <c r="F213" t="s">
        <v>20</v>
      </c>
      <c r="G213" s="2">
        <v>1</v>
      </c>
      <c r="H213" s="3">
        <f t="shared" si="22"/>
        <v>345000</v>
      </c>
      <c r="I213" s="4">
        <f t="shared" si="24"/>
        <v>27600</v>
      </c>
      <c r="J213" s="4">
        <f t="shared" si="25"/>
        <v>10350</v>
      </c>
      <c r="K213" s="4">
        <v>15549</v>
      </c>
      <c r="L213" s="4">
        <f t="shared" si="26"/>
        <v>398499</v>
      </c>
      <c r="M213" s="4">
        <f t="shared" si="23"/>
        <v>318799.2</v>
      </c>
      <c r="N213" s="5">
        <f t="shared" si="27"/>
        <v>79699.799999999988</v>
      </c>
    </row>
    <row r="214" spans="1:14" x14ac:dyDescent="0.35">
      <c r="A214" t="s">
        <v>250</v>
      </c>
      <c r="B214" s="7">
        <v>45416</v>
      </c>
      <c r="C214" s="2" t="s">
        <v>16</v>
      </c>
      <c r="D214" s="2" t="s">
        <v>30</v>
      </c>
      <c r="E214" s="2" t="s">
        <v>31</v>
      </c>
      <c r="F214" t="s">
        <v>21</v>
      </c>
      <c r="G214" s="2">
        <v>1</v>
      </c>
      <c r="H214" s="3">
        <f t="shared" si="22"/>
        <v>359000</v>
      </c>
      <c r="I214" s="4">
        <f t="shared" si="24"/>
        <v>28720</v>
      </c>
      <c r="J214" s="4">
        <f t="shared" si="25"/>
        <v>10770</v>
      </c>
      <c r="K214" s="4">
        <v>13849</v>
      </c>
      <c r="L214" s="4">
        <f t="shared" si="26"/>
        <v>412339</v>
      </c>
      <c r="M214" s="4">
        <f t="shared" si="23"/>
        <v>329871.2</v>
      </c>
      <c r="N214" s="5">
        <f t="shared" si="27"/>
        <v>82467.799999999988</v>
      </c>
    </row>
    <row r="215" spans="1:14" x14ac:dyDescent="0.35">
      <c r="A215" t="s">
        <v>251</v>
      </c>
      <c r="B215" s="7">
        <v>45642</v>
      </c>
      <c r="C215" s="2" t="s">
        <v>16</v>
      </c>
      <c r="D215" s="2" t="s">
        <v>32</v>
      </c>
      <c r="E215" s="2" t="s">
        <v>33</v>
      </c>
      <c r="F215" t="s">
        <v>19</v>
      </c>
      <c r="G215" s="2">
        <v>1</v>
      </c>
      <c r="H215" s="3">
        <f t="shared" si="22"/>
        <v>319000</v>
      </c>
      <c r="I215" s="4">
        <f t="shared" si="24"/>
        <v>25520</v>
      </c>
      <c r="J215" s="4">
        <f t="shared" si="25"/>
        <v>9570</v>
      </c>
      <c r="K215" s="4">
        <v>13766</v>
      </c>
      <c r="L215" s="4">
        <f t="shared" si="26"/>
        <v>367856</v>
      </c>
      <c r="M215" s="4">
        <f t="shared" si="23"/>
        <v>294284.79999999999</v>
      </c>
      <c r="N215" s="5">
        <f t="shared" si="27"/>
        <v>73571.200000000012</v>
      </c>
    </row>
    <row r="216" spans="1:14" x14ac:dyDescent="0.35">
      <c r="A216" t="s">
        <v>252</v>
      </c>
      <c r="B216" s="7">
        <v>45326</v>
      </c>
      <c r="C216" s="2" t="s">
        <v>17</v>
      </c>
      <c r="D216" s="2" t="s">
        <v>34</v>
      </c>
      <c r="E216" s="2" t="s">
        <v>35</v>
      </c>
      <c r="F216" t="s">
        <v>21</v>
      </c>
      <c r="G216" s="2">
        <v>1</v>
      </c>
      <c r="H216" s="3">
        <f t="shared" si="22"/>
        <v>359000</v>
      </c>
      <c r="I216" s="4">
        <f t="shared" si="24"/>
        <v>28720</v>
      </c>
      <c r="J216" s="4">
        <f t="shared" si="25"/>
        <v>10770</v>
      </c>
      <c r="K216" s="4">
        <v>20641</v>
      </c>
      <c r="L216" s="4">
        <f t="shared" si="26"/>
        <v>419131</v>
      </c>
      <c r="M216" s="4">
        <f t="shared" si="23"/>
        <v>335304.80000000005</v>
      </c>
      <c r="N216" s="5">
        <f t="shared" si="27"/>
        <v>83826.199999999953</v>
      </c>
    </row>
    <row r="217" spans="1:14" x14ac:dyDescent="0.35">
      <c r="A217" t="s">
        <v>253</v>
      </c>
      <c r="B217" s="7">
        <v>45592</v>
      </c>
      <c r="C217" s="2" t="s">
        <v>18</v>
      </c>
      <c r="D217" s="2" t="s">
        <v>36</v>
      </c>
      <c r="E217" s="2" t="s">
        <v>37</v>
      </c>
      <c r="F217" t="s">
        <v>21</v>
      </c>
      <c r="G217" s="2">
        <v>2</v>
      </c>
      <c r="H217" s="3">
        <f t="shared" si="22"/>
        <v>359000</v>
      </c>
      <c r="I217" s="4">
        <f t="shared" si="24"/>
        <v>28720</v>
      </c>
      <c r="J217" s="4">
        <f t="shared" si="25"/>
        <v>10770</v>
      </c>
      <c r="K217" s="4">
        <v>5692</v>
      </c>
      <c r="L217" s="4">
        <f t="shared" si="26"/>
        <v>808364</v>
      </c>
      <c r="M217" s="4">
        <f t="shared" si="23"/>
        <v>646691.20000000007</v>
      </c>
      <c r="N217" s="5">
        <f t="shared" si="27"/>
        <v>161672.79999999993</v>
      </c>
    </row>
    <row r="218" spans="1:14" x14ac:dyDescent="0.35">
      <c r="A218" t="s">
        <v>254</v>
      </c>
      <c r="B218" s="7">
        <v>45611</v>
      </c>
      <c r="C218" s="2" t="s">
        <v>14</v>
      </c>
      <c r="D218" s="2" t="s">
        <v>22</v>
      </c>
      <c r="E218" s="2" t="s">
        <v>23</v>
      </c>
      <c r="F218" t="s">
        <v>19</v>
      </c>
      <c r="G218" s="2">
        <v>4</v>
      </c>
      <c r="H218" s="3">
        <f t="shared" si="22"/>
        <v>319000</v>
      </c>
      <c r="I218" s="4">
        <f t="shared" si="24"/>
        <v>25520</v>
      </c>
      <c r="J218" s="4">
        <f t="shared" si="25"/>
        <v>9570</v>
      </c>
      <c r="K218" s="4">
        <v>22602</v>
      </c>
      <c r="L218" s="4">
        <f t="shared" si="26"/>
        <v>1506768</v>
      </c>
      <c r="M218" s="4">
        <f t="shared" si="23"/>
        <v>1205414.4000000001</v>
      </c>
      <c r="N218" s="5">
        <f t="shared" si="27"/>
        <v>301353.59999999986</v>
      </c>
    </row>
    <row r="219" spans="1:14" x14ac:dyDescent="0.35">
      <c r="A219" t="s">
        <v>255</v>
      </c>
      <c r="B219" s="7">
        <v>45516</v>
      </c>
      <c r="C219" s="2" t="s">
        <v>14</v>
      </c>
      <c r="D219" s="2" t="s">
        <v>24</v>
      </c>
      <c r="E219" s="2" t="s">
        <v>25</v>
      </c>
      <c r="F219" t="s">
        <v>20</v>
      </c>
      <c r="G219" s="2">
        <v>2</v>
      </c>
      <c r="H219" s="3">
        <f t="shared" si="22"/>
        <v>345000</v>
      </c>
      <c r="I219" s="4">
        <f t="shared" si="24"/>
        <v>27600</v>
      </c>
      <c r="J219" s="4">
        <f t="shared" si="25"/>
        <v>10350</v>
      </c>
      <c r="K219" s="4">
        <v>13450</v>
      </c>
      <c r="L219" s="4">
        <f t="shared" si="26"/>
        <v>792800</v>
      </c>
      <c r="M219" s="4">
        <f t="shared" si="23"/>
        <v>634240</v>
      </c>
      <c r="N219" s="5">
        <f t="shared" si="27"/>
        <v>158560</v>
      </c>
    </row>
    <row r="220" spans="1:14" x14ac:dyDescent="0.35">
      <c r="A220" t="s">
        <v>256</v>
      </c>
      <c r="B220" s="7">
        <v>45293</v>
      </c>
      <c r="C220" s="2" t="s">
        <v>15</v>
      </c>
      <c r="D220" s="2" t="s">
        <v>26</v>
      </c>
      <c r="E220" s="2" t="s">
        <v>27</v>
      </c>
      <c r="F220" t="s">
        <v>21</v>
      </c>
      <c r="G220" s="2">
        <v>1</v>
      </c>
      <c r="H220" s="3">
        <f t="shared" si="22"/>
        <v>359000</v>
      </c>
      <c r="I220" s="4">
        <f t="shared" si="24"/>
        <v>28720</v>
      </c>
      <c r="J220" s="4">
        <f t="shared" si="25"/>
        <v>10770</v>
      </c>
      <c r="K220" s="4">
        <v>18142</v>
      </c>
      <c r="L220" s="4">
        <f t="shared" si="26"/>
        <v>416632</v>
      </c>
      <c r="M220" s="4">
        <f t="shared" si="23"/>
        <v>333305.60000000003</v>
      </c>
      <c r="N220" s="5">
        <f t="shared" si="27"/>
        <v>83326.399999999965</v>
      </c>
    </row>
    <row r="221" spans="1:14" x14ac:dyDescent="0.35">
      <c r="A221" t="s">
        <v>257</v>
      </c>
      <c r="B221" s="7">
        <v>45477</v>
      </c>
      <c r="C221" s="2" t="s">
        <v>15</v>
      </c>
      <c r="D221" s="2" t="s">
        <v>28</v>
      </c>
      <c r="E221" s="2" t="s">
        <v>29</v>
      </c>
      <c r="F221" t="s">
        <v>20</v>
      </c>
      <c r="G221" s="2">
        <v>3</v>
      </c>
      <c r="H221" s="3">
        <f t="shared" si="22"/>
        <v>345000</v>
      </c>
      <c r="I221" s="4">
        <f t="shared" si="24"/>
        <v>27600</v>
      </c>
      <c r="J221" s="4">
        <f t="shared" si="25"/>
        <v>10350</v>
      </c>
      <c r="K221" s="4">
        <v>21059</v>
      </c>
      <c r="L221" s="4">
        <f t="shared" si="26"/>
        <v>1212027</v>
      </c>
      <c r="M221" s="4">
        <f t="shared" si="23"/>
        <v>969621.60000000009</v>
      </c>
      <c r="N221" s="5">
        <f t="shared" si="27"/>
        <v>242405.39999999991</v>
      </c>
    </row>
    <row r="222" spans="1:14" x14ac:dyDescent="0.35">
      <c r="A222" t="s">
        <v>258</v>
      </c>
      <c r="B222" s="7">
        <v>45563</v>
      </c>
      <c r="C222" s="2" t="s">
        <v>16</v>
      </c>
      <c r="D222" s="2" t="s">
        <v>30</v>
      </c>
      <c r="E222" s="2" t="s">
        <v>31</v>
      </c>
      <c r="F222" t="s">
        <v>21</v>
      </c>
      <c r="G222" s="2">
        <v>3</v>
      </c>
      <c r="H222" s="3">
        <f t="shared" si="22"/>
        <v>359000</v>
      </c>
      <c r="I222" s="4">
        <f t="shared" si="24"/>
        <v>28720</v>
      </c>
      <c r="J222" s="4">
        <f t="shared" si="25"/>
        <v>10770</v>
      </c>
      <c r="K222" s="4">
        <v>23737</v>
      </c>
      <c r="L222" s="4">
        <f t="shared" si="26"/>
        <v>1266681</v>
      </c>
      <c r="M222" s="4">
        <f t="shared" si="23"/>
        <v>1013344.8</v>
      </c>
      <c r="N222" s="5">
        <f t="shared" si="27"/>
        <v>253336.19999999995</v>
      </c>
    </row>
    <row r="223" spans="1:14" x14ac:dyDescent="0.35">
      <c r="A223" t="s">
        <v>259</v>
      </c>
      <c r="B223" s="7">
        <v>45613</v>
      </c>
      <c r="C223" s="2" t="s">
        <v>16</v>
      </c>
      <c r="D223" s="2" t="s">
        <v>32</v>
      </c>
      <c r="E223" s="2" t="s">
        <v>33</v>
      </c>
      <c r="F223" t="s">
        <v>19</v>
      </c>
      <c r="G223" s="2">
        <v>4</v>
      </c>
      <c r="H223" s="3">
        <f t="shared" si="22"/>
        <v>319000</v>
      </c>
      <c r="I223" s="4">
        <f t="shared" si="24"/>
        <v>25520</v>
      </c>
      <c r="J223" s="4">
        <f t="shared" si="25"/>
        <v>9570</v>
      </c>
      <c r="K223" s="4">
        <v>18816</v>
      </c>
      <c r="L223" s="4">
        <f t="shared" si="26"/>
        <v>1491624</v>
      </c>
      <c r="M223" s="4">
        <f t="shared" si="23"/>
        <v>1193299.2</v>
      </c>
      <c r="N223" s="5">
        <f t="shared" si="27"/>
        <v>298324.80000000005</v>
      </c>
    </row>
    <row r="224" spans="1:14" x14ac:dyDescent="0.35">
      <c r="A224" t="s">
        <v>260</v>
      </c>
      <c r="B224" s="7">
        <v>45493</v>
      </c>
      <c r="C224" s="2" t="s">
        <v>17</v>
      </c>
      <c r="D224" s="2" t="s">
        <v>34</v>
      </c>
      <c r="E224" s="2" t="s">
        <v>35</v>
      </c>
      <c r="F224" t="s">
        <v>21</v>
      </c>
      <c r="G224" s="2">
        <v>3</v>
      </c>
      <c r="H224" s="3">
        <f t="shared" si="22"/>
        <v>359000</v>
      </c>
      <c r="I224" s="4">
        <f t="shared" si="24"/>
        <v>28720</v>
      </c>
      <c r="J224" s="4">
        <f t="shared" si="25"/>
        <v>10770</v>
      </c>
      <c r="K224" s="4">
        <v>14523</v>
      </c>
      <c r="L224" s="4">
        <f t="shared" si="26"/>
        <v>1239039</v>
      </c>
      <c r="M224" s="4">
        <f t="shared" si="23"/>
        <v>991231.20000000007</v>
      </c>
      <c r="N224" s="5">
        <f t="shared" si="27"/>
        <v>247807.79999999993</v>
      </c>
    </row>
    <row r="225" spans="1:14" x14ac:dyDescent="0.35">
      <c r="A225" t="s">
        <v>261</v>
      </c>
      <c r="B225" s="7">
        <v>45394</v>
      </c>
      <c r="C225" s="2" t="s">
        <v>18</v>
      </c>
      <c r="D225" s="2" t="s">
        <v>36</v>
      </c>
      <c r="E225" s="2" t="s">
        <v>37</v>
      </c>
      <c r="F225" t="s">
        <v>21</v>
      </c>
      <c r="G225" s="2">
        <v>3</v>
      </c>
      <c r="H225" s="3">
        <f t="shared" si="22"/>
        <v>359000</v>
      </c>
      <c r="I225" s="4">
        <f t="shared" si="24"/>
        <v>28720</v>
      </c>
      <c r="J225" s="4">
        <f t="shared" si="25"/>
        <v>10770</v>
      </c>
      <c r="K225" s="4">
        <v>21581</v>
      </c>
      <c r="L225" s="4">
        <f t="shared" si="26"/>
        <v>1260213</v>
      </c>
      <c r="M225" s="4">
        <f t="shared" si="23"/>
        <v>1008170.4</v>
      </c>
      <c r="N225" s="5">
        <f t="shared" si="27"/>
        <v>252042.59999999998</v>
      </c>
    </row>
    <row r="226" spans="1:14" x14ac:dyDescent="0.35">
      <c r="A226" t="s">
        <v>262</v>
      </c>
      <c r="B226" s="7">
        <v>45328</v>
      </c>
      <c r="C226" s="2" t="s">
        <v>14</v>
      </c>
      <c r="D226" s="2" t="s">
        <v>22</v>
      </c>
      <c r="E226" s="2" t="s">
        <v>23</v>
      </c>
      <c r="F226" t="s">
        <v>19</v>
      </c>
      <c r="G226" s="2">
        <v>5</v>
      </c>
      <c r="H226" s="3">
        <f t="shared" si="22"/>
        <v>319000</v>
      </c>
      <c r="I226" s="4">
        <f t="shared" si="24"/>
        <v>25520</v>
      </c>
      <c r="J226" s="4">
        <f t="shared" si="25"/>
        <v>9570</v>
      </c>
      <c r="K226" s="4">
        <v>9415</v>
      </c>
      <c r="L226" s="4">
        <f t="shared" si="26"/>
        <v>1817525</v>
      </c>
      <c r="M226" s="4">
        <f t="shared" si="23"/>
        <v>1454020</v>
      </c>
      <c r="N226" s="5">
        <f t="shared" si="27"/>
        <v>363505</v>
      </c>
    </row>
    <row r="227" spans="1:14" x14ac:dyDescent="0.35">
      <c r="A227" t="s">
        <v>263</v>
      </c>
      <c r="B227" s="7">
        <v>45548</v>
      </c>
      <c r="C227" s="2" t="s">
        <v>14</v>
      </c>
      <c r="D227" s="2" t="s">
        <v>24</v>
      </c>
      <c r="E227" s="2" t="s">
        <v>25</v>
      </c>
      <c r="F227" t="s">
        <v>20</v>
      </c>
      <c r="G227" s="2">
        <v>5</v>
      </c>
      <c r="H227" s="3">
        <f t="shared" si="22"/>
        <v>345000</v>
      </c>
      <c r="I227" s="4">
        <f t="shared" si="24"/>
        <v>27600</v>
      </c>
      <c r="J227" s="4">
        <f t="shared" si="25"/>
        <v>10350</v>
      </c>
      <c r="K227" s="4">
        <v>8464</v>
      </c>
      <c r="L227" s="4">
        <f t="shared" si="26"/>
        <v>1957070</v>
      </c>
      <c r="M227" s="4">
        <f t="shared" si="23"/>
        <v>1565656</v>
      </c>
      <c r="N227" s="5">
        <f t="shared" si="27"/>
        <v>391414</v>
      </c>
    </row>
    <row r="228" spans="1:14" x14ac:dyDescent="0.35">
      <c r="A228" t="s">
        <v>264</v>
      </c>
      <c r="B228" s="7">
        <v>45498</v>
      </c>
      <c r="C228" s="2" t="s">
        <v>15</v>
      </c>
      <c r="D228" s="2" t="s">
        <v>26</v>
      </c>
      <c r="E228" s="2" t="s">
        <v>27</v>
      </c>
      <c r="F228" t="s">
        <v>21</v>
      </c>
      <c r="G228" s="2">
        <v>2</v>
      </c>
      <c r="H228" s="3">
        <f t="shared" si="22"/>
        <v>359000</v>
      </c>
      <c r="I228" s="4">
        <f t="shared" si="24"/>
        <v>28720</v>
      </c>
      <c r="J228" s="4">
        <f t="shared" si="25"/>
        <v>10770</v>
      </c>
      <c r="K228" s="4">
        <v>12703</v>
      </c>
      <c r="L228" s="4">
        <f t="shared" si="26"/>
        <v>822386</v>
      </c>
      <c r="M228" s="4">
        <f t="shared" si="23"/>
        <v>657908.80000000005</v>
      </c>
      <c r="N228" s="5">
        <f t="shared" si="27"/>
        <v>164477.19999999995</v>
      </c>
    </row>
    <row r="229" spans="1:14" x14ac:dyDescent="0.35">
      <c r="A229" t="s">
        <v>265</v>
      </c>
      <c r="B229" s="7">
        <v>45317</v>
      </c>
      <c r="C229" s="2" t="s">
        <v>15</v>
      </c>
      <c r="D229" s="2" t="s">
        <v>28</v>
      </c>
      <c r="E229" s="2" t="s">
        <v>29</v>
      </c>
      <c r="F229" t="s">
        <v>20</v>
      </c>
      <c r="G229" s="2">
        <v>2</v>
      </c>
      <c r="H229" s="3">
        <f t="shared" si="22"/>
        <v>345000</v>
      </c>
      <c r="I229" s="4">
        <f t="shared" si="24"/>
        <v>27600</v>
      </c>
      <c r="J229" s="4">
        <f t="shared" si="25"/>
        <v>10350</v>
      </c>
      <c r="K229" s="4">
        <v>22499</v>
      </c>
      <c r="L229" s="4">
        <f t="shared" si="26"/>
        <v>810898</v>
      </c>
      <c r="M229" s="4">
        <f t="shared" si="23"/>
        <v>648718.4</v>
      </c>
      <c r="N229" s="5">
        <f t="shared" si="27"/>
        <v>162179.59999999998</v>
      </c>
    </row>
    <row r="230" spans="1:14" x14ac:dyDescent="0.35">
      <c r="A230" t="s">
        <v>266</v>
      </c>
      <c r="B230" s="7">
        <v>45319</v>
      </c>
      <c r="C230" s="2" t="s">
        <v>16</v>
      </c>
      <c r="D230" s="2" t="s">
        <v>30</v>
      </c>
      <c r="E230" s="2" t="s">
        <v>31</v>
      </c>
      <c r="F230" t="s">
        <v>21</v>
      </c>
      <c r="G230" s="2">
        <v>2</v>
      </c>
      <c r="H230" s="3">
        <f t="shared" si="22"/>
        <v>359000</v>
      </c>
      <c r="I230" s="4">
        <f t="shared" si="24"/>
        <v>28720</v>
      </c>
      <c r="J230" s="4">
        <f t="shared" si="25"/>
        <v>10770</v>
      </c>
      <c r="K230" s="4">
        <v>17297</v>
      </c>
      <c r="L230" s="4">
        <f t="shared" si="26"/>
        <v>831574</v>
      </c>
      <c r="M230" s="4">
        <f t="shared" si="23"/>
        <v>665259.20000000007</v>
      </c>
      <c r="N230" s="5">
        <f t="shared" si="27"/>
        <v>166314.79999999993</v>
      </c>
    </row>
    <row r="231" spans="1:14" x14ac:dyDescent="0.35">
      <c r="A231" t="s">
        <v>267</v>
      </c>
      <c r="B231" s="7">
        <v>45378</v>
      </c>
      <c r="C231" s="2" t="s">
        <v>16</v>
      </c>
      <c r="D231" s="2" t="s">
        <v>32</v>
      </c>
      <c r="E231" s="2" t="s">
        <v>33</v>
      </c>
      <c r="F231" t="s">
        <v>19</v>
      </c>
      <c r="G231" s="2">
        <v>5</v>
      </c>
      <c r="H231" s="3">
        <f t="shared" si="22"/>
        <v>319000</v>
      </c>
      <c r="I231" s="4">
        <f t="shared" si="24"/>
        <v>25520</v>
      </c>
      <c r="J231" s="4">
        <f t="shared" si="25"/>
        <v>9570</v>
      </c>
      <c r="K231" s="4">
        <v>19049</v>
      </c>
      <c r="L231" s="4">
        <f t="shared" si="26"/>
        <v>1865695</v>
      </c>
      <c r="M231" s="4">
        <f t="shared" si="23"/>
        <v>1492556</v>
      </c>
      <c r="N231" s="5">
        <f t="shared" si="27"/>
        <v>373139</v>
      </c>
    </row>
    <row r="232" spans="1:14" x14ac:dyDescent="0.35">
      <c r="A232" t="s">
        <v>268</v>
      </c>
      <c r="B232" s="7">
        <v>45431</v>
      </c>
      <c r="C232" s="2" t="s">
        <v>17</v>
      </c>
      <c r="D232" s="2" t="s">
        <v>34</v>
      </c>
      <c r="E232" s="2" t="s">
        <v>35</v>
      </c>
      <c r="F232" t="s">
        <v>21</v>
      </c>
      <c r="G232" s="2">
        <v>2</v>
      </c>
      <c r="H232" s="3">
        <f t="shared" si="22"/>
        <v>359000</v>
      </c>
      <c r="I232" s="4">
        <f t="shared" si="24"/>
        <v>28720</v>
      </c>
      <c r="J232" s="4">
        <f t="shared" si="25"/>
        <v>10770</v>
      </c>
      <c r="K232" s="4">
        <v>19028</v>
      </c>
      <c r="L232" s="4">
        <f t="shared" si="26"/>
        <v>835036</v>
      </c>
      <c r="M232" s="4">
        <f t="shared" si="23"/>
        <v>668028.80000000005</v>
      </c>
      <c r="N232" s="5">
        <f t="shared" si="27"/>
        <v>167007.19999999995</v>
      </c>
    </row>
    <row r="233" spans="1:14" x14ac:dyDescent="0.35">
      <c r="A233" t="s">
        <v>269</v>
      </c>
      <c r="B233" s="7">
        <v>45630</v>
      </c>
      <c r="C233" s="2" t="s">
        <v>18</v>
      </c>
      <c r="D233" s="2" t="s">
        <v>36</v>
      </c>
      <c r="E233" s="2" t="s">
        <v>37</v>
      </c>
      <c r="F233" t="s">
        <v>21</v>
      </c>
      <c r="G233" s="2">
        <v>4</v>
      </c>
      <c r="H233" s="3">
        <f t="shared" si="22"/>
        <v>359000</v>
      </c>
      <c r="I233" s="4">
        <f t="shared" si="24"/>
        <v>28720</v>
      </c>
      <c r="J233" s="4">
        <f t="shared" si="25"/>
        <v>10770</v>
      </c>
      <c r="K233" s="4">
        <v>24054</v>
      </c>
      <c r="L233" s="4">
        <f t="shared" si="26"/>
        <v>1690176</v>
      </c>
      <c r="M233" s="4">
        <f t="shared" si="23"/>
        <v>1352140.8</v>
      </c>
      <c r="N233" s="5">
        <f t="shared" si="27"/>
        <v>338035.19999999995</v>
      </c>
    </row>
    <row r="234" spans="1:14" x14ac:dyDescent="0.35">
      <c r="A234" t="s">
        <v>270</v>
      </c>
      <c r="B234" s="7">
        <v>45300</v>
      </c>
      <c r="C234" s="2" t="s">
        <v>14</v>
      </c>
      <c r="D234" s="2" t="s">
        <v>22</v>
      </c>
      <c r="E234" s="2" t="s">
        <v>23</v>
      </c>
      <c r="F234" t="s">
        <v>19</v>
      </c>
      <c r="G234" s="2">
        <v>2</v>
      </c>
      <c r="H234" s="3">
        <f t="shared" si="22"/>
        <v>319000</v>
      </c>
      <c r="I234" s="4">
        <f t="shared" si="24"/>
        <v>25520</v>
      </c>
      <c r="J234" s="4">
        <f t="shared" si="25"/>
        <v>9570</v>
      </c>
      <c r="K234" s="4">
        <v>17803</v>
      </c>
      <c r="L234" s="4">
        <f t="shared" si="26"/>
        <v>743786</v>
      </c>
      <c r="M234" s="4">
        <f t="shared" si="23"/>
        <v>595028.80000000005</v>
      </c>
      <c r="N234" s="5">
        <f t="shared" si="27"/>
        <v>148757.19999999995</v>
      </c>
    </row>
    <row r="235" spans="1:14" x14ac:dyDescent="0.35">
      <c r="A235" t="s">
        <v>271</v>
      </c>
      <c r="B235" s="7">
        <v>45346</v>
      </c>
      <c r="C235" s="2" t="s">
        <v>14</v>
      </c>
      <c r="D235" s="2" t="s">
        <v>24</v>
      </c>
      <c r="E235" s="2" t="s">
        <v>25</v>
      </c>
      <c r="F235" t="s">
        <v>20</v>
      </c>
      <c r="G235" s="2">
        <v>2</v>
      </c>
      <c r="H235" s="3">
        <f t="shared" si="22"/>
        <v>345000</v>
      </c>
      <c r="I235" s="4">
        <f t="shared" si="24"/>
        <v>27600</v>
      </c>
      <c r="J235" s="4">
        <f t="shared" si="25"/>
        <v>10350</v>
      </c>
      <c r="K235" s="4">
        <v>22908</v>
      </c>
      <c r="L235" s="4">
        <f t="shared" si="26"/>
        <v>811716</v>
      </c>
      <c r="M235" s="4">
        <f t="shared" si="23"/>
        <v>649372.80000000005</v>
      </c>
      <c r="N235" s="5">
        <f t="shared" si="27"/>
        <v>162343.19999999995</v>
      </c>
    </row>
    <row r="236" spans="1:14" x14ac:dyDescent="0.35">
      <c r="A236" t="s">
        <v>272</v>
      </c>
      <c r="B236" s="7">
        <v>45415</v>
      </c>
      <c r="C236" s="2" t="s">
        <v>15</v>
      </c>
      <c r="D236" s="2" t="s">
        <v>26</v>
      </c>
      <c r="E236" s="2" t="s">
        <v>27</v>
      </c>
      <c r="F236" t="s">
        <v>21</v>
      </c>
      <c r="G236" s="2">
        <v>5</v>
      </c>
      <c r="H236" s="3">
        <f t="shared" si="22"/>
        <v>359000</v>
      </c>
      <c r="I236" s="4">
        <f t="shared" si="24"/>
        <v>28720</v>
      </c>
      <c r="J236" s="4">
        <f t="shared" si="25"/>
        <v>10770</v>
      </c>
      <c r="K236" s="4">
        <v>15392</v>
      </c>
      <c r="L236" s="4">
        <f t="shared" si="26"/>
        <v>2069410</v>
      </c>
      <c r="M236" s="4">
        <f t="shared" si="23"/>
        <v>1655528</v>
      </c>
      <c r="N236" s="5">
        <f t="shared" si="27"/>
        <v>413882</v>
      </c>
    </row>
    <row r="237" spans="1:14" x14ac:dyDescent="0.35">
      <c r="A237" t="s">
        <v>273</v>
      </c>
      <c r="B237" s="7">
        <v>45614</v>
      </c>
      <c r="C237" s="2" t="s">
        <v>15</v>
      </c>
      <c r="D237" s="2" t="s">
        <v>28</v>
      </c>
      <c r="E237" s="2" t="s">
        <v>29</v>
      </c>
      <c r="F237" t="s">
        <v>20</v>
      </c>
      <c r="G237" s="2">
        <v>2</v>
      </c>
      <c r="H237" s="3">
        <f t="shared" si="22"/>
        <v>345000</v>
      </c>
      <c r="I237" s="4">
        <f t="shared" si="24"/>
        <v>27600</v>
      </c>
      <c r="J237" s="4">
        <f t="shared" si="25"/>
        <v>10350</v>
      </c>
      <c r="K237" s="4">
        <v>7157</v>
      </c>
      <c r="L237" s="4">
        <f t="shared" si="26"/>
        <v>780214</v>
      </c>
      <c r="M237" s="4">
        <f t="shared" si="23"/>
        <v>624171.20000000007</v>
      </c>
      <c r="N237" s="5">
        <f t="shared" si="27"/>
        <v>156042.79999999993</v>
      </c>
    </row>
    <row r="238" spans="1:14" x14ac:dyDescent="0.35">
      <c r="A238" t="s">
        <v>274</v>
      </c>
      <c r="B238" s="7">
        <v>45384</v>
      </c>
      <c r="C238" s="2" t="s">
        <v>16</v>
      </c>
      <c r="D238" s="2" t="s">
        <v>30</v>
      </c>
      <c r="E238" s="2" t="s">
        <v>31</v>
      </c>
      <c r="F238" t="s">
        <v>21</v>
      </c>
      <c r="G238" s="2">
        <v>2</v>
      </c>
      <c r="H238" s="3">
        <f t="shared" si="22"/>
        <v>359000</v>
      </c>
      <c r="I238" s="4">
        <f t="shared" si="24"/>
        <v>28720</v>
      </c>
      <c r="J238" s="4">
        <f t="shared" si="25"/>
        <v>10770</v>
      </c>
      <c r="K238" s="4">
        <v>12109</v>
      </c>
      <c r="L238" s="4">
        <f t="shared" si="26"/>
        <v>821198</v>
      </c>
      <c r="M238" s="4">
        <f t="shared" si="23"/>
        <v>656958.4</v>
      </c>
      <c r="N238" s="5">
        <f t="shared" si="27"/>
        <v>164239.59999999998</v>
      </c>
    </row>
    <row r="239" spans="1:14" x14ac:dyDescent="0.35">
      <c r="A239" t="s">
        <v>275</v>
      </c>
      <c r="B239" s="7">
        <v>45376</v>
      </c>
      <c r="C239" s="2" t="s">
        <v>16</v>
      </c>
      <c r="D239" s="2" t="s">
        <v>32</v>
      </c>
      <c r="E239" s="2" t="s">
        <v>33</v>
      </c>
      <c r="F239" t="s">
        <v>19</v>
      </c>
      <c r="G239" s="2">
        <v>2</v>
      </c>
      <c r="H239" s="3">
        <f t="shared" si="22"/>
        <v>319000</v>
      </c>
      <c r="I239" s="4">
        <f t="shared" si="24"/>
        <v>25520</v>
      </c>
      <c r="J239" s="4">
        <f t="shared" si="25"/>
        <v>9570</v>
      </c>
      <c r="K239" s="4">
        <v>22032</v>
      </c>
      <c r="L239" s="4">
        <f t="shared" si="26"/>
        <v>752244</v>
      </c>
      <c r="M239" s="4">
        <f t="shared" si="23"/>
        <v>601795.20000000007</v>
      </c>
      <c r="N239" s="5">
        <f t="shared" si="27"/>
        <v>150448.79999999993</v>
      </c>
    </row>
    <row r="240" spans="1:14" x14ac:dyDescent="0.35">
      <c r="A240" t="s">
        <v>276</v>
      </c>
      <c r="B240" s="7">
        <v>45578</v>
      </c>
      <c r="C240" s="2" t="s">
        <v>17</v>
      </c>
      <c r="D240" s="2" t="s">
        <v>34</v>
      </c>
      <c r="E240" s="2" t="s">
        <v>35</v>
      </c>
      <c r="F240" t="s">
        <v>21</v>
      </c>
      <c r="G240" s="2">
        <v>2</v>
      </c>
      <c r="H240" s="3">
        <f t="shared" si="22"/>
        <v>359000</v>
      </c>
      <c r="I240" s="4">
        <f t="shared" si="24"/>
        <v>28720</v>
      </c>
      <c r="J240" s="4">
        <f t="shared" si="25"/>
        <v>10770</v>
      </c>
      <c r="K240" s="4">
        <v>9470</v>
      </c>
      <c r="L240" s="4">
        <f t="shared" si="26"/>
        <v>815920</v>
      </c>
      <c r="M240" s="4">
        <f t="shared" si="23"/>
        <v>652736</v>
      </c>
      <c r="N240" s="5">
        <f t="shared" si="27"/>
        <v>163184</v>
      </c>
    </row>
    <row r="241" spans="1:14" x14ac:dyDescent="0.35">
      <c r="A241" t="s">
        <v>277</v>
      </c>
      <c r="B241" s="7">
        <v>45566</v>
      </c>
      <c r="C241" s="2" t="s">
        <v>18</v>
      </c>
      <c r="D241" s="2" t="s">
        <v>36</v>
      </c>
      <c r="E241" s="2" t="s">
        <v>37</v>
      </c>
      <c r="F241" t="s">
        <v>21</v>
      </c>
      <c r="G241" s="2">
        <v>5</v>
      </c>
      <c r="H241" s="3">
        <f t="shared" si="22"/>
        <v>359000</v>
      </c>
      <c r="I241" s="4">
        <f t="shared" si="24"/>
        <v>28720</v>
      </c>
      <c r="J241" s="4">
        <f t="shared" si="25"/>
        <v>10770</v>
      </c>
      <c r="K241" s="4">
        <v>23871</v>
      </c>
      <c r="L241" s="4">
        <f t="shared" si="26"/>
        <v>2111805</v>
      </c>
      <c r="M241" s="4">
        <f t="shared" si="23"/>
        <v>1689444</v>
      </c>
      <c r="N241" s="5">
        <f t="shared" si="27"/>
        <v>422361</v>
      </c>
    </row>
    <row r="242" spans="1:14" x14ac:dyDescent="0.35">
      <c r="A242" t="s">
        <v>278</v>
      </c>
      <c r="B242" s="7">
        <v>45599</v>
      </c>
      <c r="C242" s="2" t="s">
        <v>14</v>
      </c>
      <c r="D242" s="2" t="s">
        <v>22</v>
      </c>
      <c r="E242" s="2" t="s">
        <v>23</v>
      </c>
      <c r="F242" t="s">
        <v>19</v>
      </c>
      <c r="G242" s="2">
        <v>4</v>
      </c>
      <c r="H242" s="3">
        <f t="shared" si="22"/>
        <v>319000</v>
      </c>
      <c r="I242" s="4">
        <f t="shared" si="24"/>
        <v>25520</v>
      </c>
      <c r="J242" s="4">
        <f t="shared" si="25"/>
        <v>9570</v>
      </c>
      <c r="K242" s="4">
        <v>8183</v>
      </c>
      <c r="L242" s="4">
        <f t="shared" si="26"/>
        <v>1449092</v>
      </c>
      <c r="M242" s="4">
        <f t="shared" si="23"/>
        <v>1159273.6000000001</v>
      </c>
      <c r="N242" s="5">
        <f t="shared" si="27"/>
        <v>289818.39999999991</v>
      </c>
    </row>
    <row r="243" spans="1:14" x14ac:dyDescent="0.35">
      <c r="A243" t="s">
        <v>279</v>
      </c>
      <c r="B243" s="7">
        <v>45326</v>
      </c>
      <c r="C243" s="2" t="s">
        <v>14</v>
      </c>
      <c r="D243" s="2" t="s">
        <v>24</v>
      </c>
      <c r="E243" s="2" t="s">
        <v>25</v>
      </c>
      <c r="F243" t="s">
        <v>20</v>
      </c>
      <c r="G243" s="2">
        <v>4</v>
      </c>
      <c r="H243" s="3">
        <f t="shared" si="22"/>
        <v>345000</v>
      </c>
      <c r="I243" s="4">
        <f t="shared" si="24"/>
        <v>27600</v>
      </c>
      <c r="J243" s="4">
        <f t="shared" si="25"/>
        <v>10350</v>
      </c>
      <c r="K243" s="4">
        <v>15500</v>
      </c>
      <c r="L243" s="4">
        <f t="shared" si="26"/>
        <v>1593800</v>
      </c>
      <c r="M243" s="4">
        <f t="shared" si="23"/>
        <v>1275040</v>
      </c>
      <c r="N243" s="5">
        <f t="shared" si="27"/>
        <v>318760</v>
      </c>
    </row>
    <row r="244" spans="1:14" x14ac:dyDescent="0.35">
      <c r="A244" t="s">
        <v>280</v>
      </c>
      <c r="B244" s="7">
        <v>45550</v>
      </c>
      <c r="C244" s="2" t="s">
        <v>15</v>
      </c>
      <c r="D244" s="2" t="s">
        <v>26</v>
      </c>
      <c r="E244" s="2" t="s">
        <v>27</v>
      </c>
      <c r="F244" t="s">
        <v>21</v>
      </c>
      <c r="G244" s="2">
        <v>4</v>
      </c>
      <c r="H244" s="3">
        <f t="shared" si="22"/>
        <v>359000</v>
      </c>
      <c r="I244" s="4">
        <f t="shared" si="24"/>
        <v>28720</v>
      </c>
      <c r="J244" s="4">
        <f t="shared" si="25"/>
        <v>10770</v>
      </c>
      <c r="K244" s="4">
        <v>19323</v>
      </c>
      <c r="L244" s="4">
        <f t="shared" si="26"/>
        <v>1671252</v>
      </c>
      <c r="M244" s="4">
        <f t="shared" si="23"/>
        <v>1337001.6000000001</v>
      </c>
      <c r="N244" s="5">
        <f t="shared" si="27"/>
        <v>334250.39999999991</v>
      </c>
    </row>
    <row r="245" spans="1:14" x14ac:dyDescent="0.35">
      <c r="A245" t="s">
        <v>281</v>
      </c>
      <c r="B245" s="7">
        <v>45343</v>
      </c>
      <c r="C245" s="2" t="s">
        <v>15</v>
      </c>
      <c r="D245" s="2" t="s">
        <v>28</v>
      </c>
      <c r="E245" s="2" t="s">
        <v>29</v>
      </c>
      <c r="F245" t="s">
        <v>20</v>
      </c>
      <c r="G245" s="2">
        <v>2</v>
      </c>
      <c r="H245" s="3">
        <f t="shared" si="22"/>
        <v>345000</v>
      </c>
      <c r="I245" s="4">
        <f t="shared" si="24"/>
        <v>27600</v>
      </c>
      <c r="J245" s="4">
        <f t="shared" si="25"/>
        <v>10350</v>
      </c>
      <c r="K245" s="4">
        <v>21897</v>
      </c>
      <c r="L245" s="4">
        <f t="shared" si="26"/>
        <v>809694</v>
      </c>
      <c r="M245" s="4">
        <f t="shared" si="23"/>
        <v>647755.20000000007</v>
      </c>
      <c r="N245" s="5">
        <f t="shared" si="27"/>
        <v>161938.79999999993</v>
      </c>
    </row>
    <row r="246" spans="1:14" x14ac:dyDescent="0.35">
      <c r="A246" t="s">
        <v>282</v>
      </c>
      <c r="B246" s="7">
        <v>45515</v>
      </c>
      <c r="C246" s="2" t="s">
        <v>16</v>
      </c>
      <c r="D246" s="2" t="s">
        <v>30</v>
      </c>
      <c r="E246" s="2" t="s">
        <v>31</v>
      </c>
      <c r="F246" t="s">
        <v>21</v>
      </c>
      <c r="G246" s="2">
        <v>2</v>
      </c>
      <c r="H246" s="3">
        <f t="shared" si="22"/>
        <v>359000</v>
      </c>
      <c r="I246" s="4">
        <f t="shared" si="24"/>
        <v>28720</v>
      </c>
      <c r="J246" s="4">
        <f t="shared" si="25"/>
        <v>10770</v>
      </c>
      <c r="K246" s="4">
        <v>13024</v>
      </c>
      <c r="L246" s="4">
        <f t="shared" si="26"/>
        <v>823028</v>
      </c>
      <c r="M246" s="4">
        <f t="shared" si="23"/>
        <v>658422.4</v>
      </c>
      <c r="N246" s="5">
        <f t="shared" si="27"/>
        <v>164605.59999999998</v>
      </c>
    </row>
    <row r="247" spans="1:14" x14ac:dyDescent="0.35">
      <c r="A247" t="s">
        <v>283</v>
      </c>
      <c r="B247" s="7">
        <v>45499</v>
      </c>
      <c r="C247" s="2" t="s">
        <v>16</v>
      </c>
      <c r="D247" s="2" t="s">
        <v>32</v>
      </c>
      <c r="E247" s="2" t="s">
        <v>33</v>
      </c>
      <c r="F247" t="s">
        <v>19</v>
      </c>
      <c r="G247" s="2">
        <v>2</v>
      </c>
      <c r="H247" s="3">
        <f t="shared" si="22"/>
        <v>319000</v>
      </c>
      <c r="I247" s="4">
        <f t="shared" si="24"/>
        <v>25520</v>
      </c>
      <c r="J247" s="4">
        <f t="shared" si="25"/>
        <v>9570</v>
      </c>
      <c r="K247" s="4">
        <v>18744</v>
      </c>
      <c r="L247" s="4">
        <f t="shared" si="26"/>
        <v>745668</v>
      </c>
      <c r="M247" s="4">
        <f t="shared" si="23"/>
        <v>596534.4</v>
      </c>
      <c r="N247" s="5">
        <f t="shared" si="27"/>
        <v>149133.59999999998</v>
      </c>
    </row>
    <row r="248" spans="1:14" x14ac:dyDescent="0.35">
      <c r="A248" t="s">
        <v>284</v>
      </c>
      <c r="B248" s="7">
        <v>45651</v>
      </c>
      <c r="C248" s="2" t="s">
        <v>17</v>
      </c>
      <c r="D248" s="2" t="s">
        <v>34</v>
      </c>
      <c r="E248" s="2" t="s">
        <v>35</v>
      </c>
      <c r="F248" t="s">
        <v>21</v>
      </c>
      <c r="G248" s="2">
        <v>3</v>
      </c>
      <c r="H248" s="3">
        <f t="shared" si="22"/>
        <v>359000</v>
      </c>
      <c r="I248" s="4">
        <f t="shared" si="24"/>
        <v>28720</v>
      </c>
      <c r="J248" s="4">
        <f t="shared" si="25"/>
        <v>10770</v>
      </c>
      <c r="K248" s="4">
        <v>16552</v>
      </c>
      <c r="L248" s="4">
        <f t="shared" si="26"/>
        <v>1245126</v>
      </c>
      <c r="M248" s="4">
        <f t="shared" si="23"/>
        <v>996100.8</v>
      </c>
      <c r="N248" s="5">
        <f t="shared" si="27"/>
        <v>249025.19999999995</v>
      </c>
    </row>
    <row r="249" spans="1:14" x14ac:dyDescent="0.35">
      <c r="A249" t="s">
        <v>285</v>
      </c>
      <c r="B249" s="7">
        <v>45598</v>
      </c>
      <c r="C249" s="2" t="s">
        <v>18</v>
      </c>
      <c r="D249" s="2" t="s">
        <v>36</v>
      </c>
      <c r="E249" s="2" t="s">
        <v>37</v>
      </c>
      <c r="F249" t="s">
        <v>21</v>
      </c>
      <c r="G249" s="2">
        <v>3</v>
      </c>
      <c r="H249" s="3">
        <f t="shared" si="22"/>
        <v>359000</v>
      </c>
      <c r="I249" s="4">
        <f t="shared" si="24"/>
        <v>28720</v>
      </c>
      <c r="J249" s="4">
        <f t="shared" si="25"/>
        <v>10770</v>
      </c>
      <c r="K249" s="4">
        <v>7623</v>
      </c>
      <c r="L249" s="4">
        <f t="shared" si="26"/>
        <v>1218339</v>
      </c>
      <c r="M249" s="4">
        <f t="shared" si="23"/>
        <v>974671.20000000007</v>
      </c>
      <c r="N249" s="5">
        <f t="shared" si="27"/>
        <v>243667.79999999993</v>
      </c>
    </row>
    <row r="250" spans="1:14" x14ac:dyDescent="0.35">
      <c r="A250" t="s">
        <v>286</v>
      </c>
      <c r="B250" s="7">
        <v>45579</v>
      </c>
      <c r="C250" s="2" t="s">
        <v>14</v>
      </c>
      <c r="D250" s="2" t="s">
        <v>22</v>
      </c>
      <c r="E250" s="2" t="s">
        <v>23</v>
      </c>
      <c r="F250" t="s">
        <v>19</v>
      </c>
      <c r="G250" s="2">
        <v>4</v>
      </c>
      <c r="H250" s="3">
        <f t="shared" si="22"/>
        <v>319000</v>
      </c>
      <c r="I250" s="4">
        <f t="shared" si="24"/>
        <v>25520</v>
      </c>
      <c r="J250" s="4">
        <f t="shared" si="25"/>
        <v>9570</v>
      </c>
      <c r="K250" s="4">
        <v>13689</v>
      </c>
      <c r="L250" s="4">
        <f t="shared" si="26"/>
        <v>1471116</v>
      </c>
      <c r="M250" s="4">
        <f t="shared" si="23"/>
        <v>1176892.8</v>
      </c>
      <c r="N250" s="5">
        <f t="shared" si="27"/>
        <v>294223.19999999995</v>
      </c>
    </row>
    <row r="251" spans="1:14" x14ac:dyDescent="0.35">
      <c r="A251" t="s">
        <v>287</v>
      </c>
      <c r="B251" s="7">
        <v>45551</v>
      </c>
      <c r="C251" s="2" t="s">
        <v>14</v>
      </c>
      <c r="D251" s="2" t="s">
        <v>24</v>
      </c>
      <c r="E251" s="2" t="s">
        <v>25</v>
      </c>
      <c r="F251" t="s">
        <v>20</v>
      </c>
      <c r="G251" s="2">
        <v>2</v>
      </c>
      <c r="H251" s="3">
        <f t="shared" si="22"/>
        <v>345000</v>
      </c>
      <c r="I251" s="4">
        <f t="shared" si="24"/>
        <v>27600</v>
      </c>
      <c r="J251" s="4">
        <f t="shared" si="25"/>
        <v>10350</v>
      </c>
      <c r="K251" s="4">
        <v>16610</v>
      </c>
      <c r="L251" s="4">
        <f t="shared" si="26"/>
        <v>799120</v>
      </c>
      <c r="M251" s="4">
        <f t="shared" si="23"/>
        <v>639296</v>
      </c>
      <c r="N251" s="5">
        <f t="shared" si="27"/>
        <v>159824</v>
      </c>
    </row>
    <row r="252" spans="1:14" x14ac:dyDescent="0.35">
      <c r="A252" t="s">
        <v>288</v>
      </c>
      <c r="B252" s="7">
        <v>45599</v>
      </c>
      <c r="C252" s="2" t="s">
        <v>15</v>
      </c>
      <c r="D252" s="2" t="s">
        <v>26</v>
      </c>
      <c r="E252" s="2" t="s">
        <v>27</v>
      </c>
      <c r="F252" t="s">
        <v>21</v>
      </c>
      <c r="G252" s="2">
        <v>2</v>
      </c>
      <c r="H252" s="3">
        <f t="shared" si="22"/>
        <v>359000</v>
      </c>
      <c r="I252" s="4">
        <f t="shared" si="24"/>
        <v>28720</v>
      </c>
      <c r="J252" s="4">
        <f t="shared" si="25"/>
        <v>10770</v>
      </c>
      <c r="K252" s="4">
        <v>14307</v>
      </c>
      <c r="L252" s="4">
        <f t="shared" si="26"/>
        <v>825594</v>
      </c>
      <c r="M252" s="4">
        <f t="shared" si="23"/>
        <v>660475.20000000007</v>
      </c>
      <c r="N252" s="5">
        <f t="shared" si="27"/>
        <v>165118.79999999993</v>
      </c>
    </row>
    <row r="253" spans="1:14" x14ac:dyDescent="0.35">
      <c r="A253" t="s">
        <v>289</v>
      </c>
      <c r="B253" s="7">
        <v>45582</v>
      </c>
      <c r="C253" s="2" t="s">
        <v>15</v>
      </c>
      <c r="D253" s="2" t="s">
        <v>28</v>
      </c>
      <c r="E253" s="2" t="s">
        <v>29</v>
      </c>
      <c r="F253" t="s">
        <v>20</v>
      </c>
      <c r="G253" s="2">
        <v>2</v>
      </c>
      <c r="H253" s="3">
        <f t="shared" si="22"/>
        <v>345000</v>
      </c>
      <c r="I253" s="4">
        <f t="shared" si="24"/>
        <v>27600</v>
      </c>
      <c r="J253" s="4">
        <f t="shared" si="25"/>
        <v>10350</v>
      </c>
      <c r="K253" s="4">
        <v>12833</v>
      </c>
      <c r="L253" s="4">
        <f t="shared" si="26"/>
        <v>791566</v>
      </c>
      <c r="M253" s="4">
        <f t="shared" si="23"/>
        <v>633252.80000000005</v>
      </c>
      <c r="N253" s="5">
        <f t="shared" si="27"/>
        <v>158313.19999999995</v>
      </c>
    </row>
    <row r="254" spans="1:14" x14ac:dyDescent="0.35">
      <c r="A254" t="s">
        <v>290</v>
      </c>
      <c r="B254" s="7">
        <v>45560</v>
      </c>
      <c r="C254" s="2" t="s">
        <v>16</v>
      </c>
      <c r="D254" s="2" t="s">
        <v>30</v>
      </c>
      <c r="E254" s="2" t="s">
        <v>31</v>
      </c>
      <c r="F254" t="s">
        <v>21</v>
      </c>
      <c r="G254" s="2">
        <v>2</v>
      </c>
      <c r="H254" s="3">
        <f t="shared" si="22"/>
        <v>359000</v>
      </c>
      <c r="I254" s="4">
        <f t="shared" si="24"/>
        <v>28720</v>
      </c>
      <c r="J254" s="4">
        <f t="shared" si="25"/>
        <v>10770</v>
      </c>
      <c r="K254" s="4">
        <v>22457</v>
      </c>
      <c r="L254" s="4">
        <f t="shared" si="26"/>
        <v>841894</v>
      </c>
      <c r="M254" s="4">
        <f t="shared" si="23"/>
        <v>673515.20000000007</v>
      </c>
      <c r="N254" s="5">
        <f t="shared" si="27"/>
        <v>168378.79999999993</v>
      </c>
    </row>
    <row r="255" spans="1:14" x14ac:dyDescent="0.35">
      <c r="A255" t="s">
        <v>291</v>
      </c>
      <c r="B255" s="7">
        <v>45563</v>
      </c>
      <c r="C255" s="2" t="s">
        <v>16</v>
      </c>
      <c r="D255" s="2" t="s">
        <v>32</v>
      </c>
      <c r="E255" s="2" t="s">
        <v>33</v>
      </c>
      <c r="F255" t="s">
        <v>19</v>
      </c>
      <c r="G255" s="2">
        <v>5</v>
      </c>
      <c r="H255" s="3">
        <f t="shared" si="22"/>
        <v>319000</v>
      </c>
      <c r="I255" s="4">
        <f t="shared" si="24"/>
        <v>25520</v>
      </c>
      <c r="J255" s="4">
        <f t="shared" si="25"/>
        <v>9570</v>
      </c>
      <c r="K255" s="4">
        <v>7836</v>
      </c>
      <c r="L255" s="4">
        <f t="shared" si="26"/>
        <v>1809630</v>
      </c>
      <c r="M255" s="4">
        <f t="shared" si="23"/>
        <v>1447704</v>
      </c>
      <c r="N255" s="5">
        <f t="shared" si="27"/>
        <v>361926</v>
      </c>
    </row>
    <row r="256" spans="1:14" x14ac:dyDescent="0.35">
      <c r="A256" t="s">
        <v>292</v>
      </c>
      <c r="B256" s="7">
        <v>45551</v>
      </c>
      <c r="C256" s="2" t="s">
        <v>17</v>
      </c>
      <c r="D256" s="2" t="s">
        <v>34</v>
      </c>
      <c r="E256" s="2" t="s">
        <v>35</v>
      </c>
      <c r="F256" t="s">
        <v>21</v>
      </c>
      <c r="G256" s="2">
        <v>4</v>
      </c>
      <c r="H256" s="3">
        <f t="shared" si="22"/>
        <v>359000</v>
      </c>
      <c r="I256" s="4">
        <f t="shared" si="24"/>
        <v>28720</v>
      </c>
      <c r="J256" s="4">
        <f t="shared" si="25"/>
        <v>10770</v>
      </c>
      <c r="K256" s="4">
        <v>6521</v>
      </c>
      <c r="L256" s="4">
        <f t="shared" si="26"/>
        <v>1620044</v>
      </c>
      <c r="M256" s="4">
        <f t="shared" si="23"/>
        <v>1296035.2000000002</v>
      </c>
      <c r="N256" s="5">
        <f t="shared" si="27"/>
        <v>324008.79999999981</v>
      </c>
    </row>
    <row r="257" spans="1:14" x14ac:dyDescent="0.35">
      <c r="A257" t="s">
        <v>293</v>
      </c>
      <c r="B257" s="7">
        <v>45632</v>
      </c>
      <c r="C257" s="2" t="s">
        <v>18</v>
      </c>
      <c r="D257" s="2" t="s">
        <v>36</v>
      </c>
      <c r="E257" s="2" t="s">
        <v>37</v>
      </c>
      <c r="F257" t="s">
        <v>21</v>
      </c>
      <c r="G257" s="2">
        <v>5</v>
      </c>
      <c r="H257" s="3">
        <f t="shared" si="22"/>
        <v>359000</v>
      </c>
      <c r="I257" s="4">
        <f t="shared" si="24"/>
        <v>28720</v>
      </c>
      <c r="J257" s="4">
        <f t="shared" si="25"/>
        <v>10770</v>
      </c>
      <c r="K257" s="4">
        <v>15326</v>
      </c>
      <c r="L257" s="4">
        <f t="shared" si="26"/>
        <v>2069080</v>
      </c>
      <c r="M257" s="4">
        <f t="shared" si="23"/>
        <v>1655264</v>
      </c>
      <c r="N257" s="5">
        <f t="shared" si="27"/>
        <v>413816</v>
      </c>
    </row>
    <row r="258" spans="1:14" x14ac:dyDescent="0.35">
      <c r="A258" t="s">
        <v>294</v>
      </c>
      <c r="B258" s="7">
        <v>45517</v>
      </c>
      <c r="C258" s="2" t="s">
        <v>14</v>
      </c>
      <c r="D258" s="2" t="s">
        <v>22</v>
      </c>
      <c r="E258" s="2" t="s">
        <v>23</v>
      </c>
      <c r="F258" t="s">
        <v>19</v>
      </c>
      <c r="G258" s="2">
        <v>5</v>
      </c>
      <c r="H258" s="3">
        <f t="shared" ref="H258:H321" si="28">IF(TRIM(F258)="Standard",319000,IF(TRIM(F258)="Custom",345000,IF(TRIM(F258)="Chrome",359000,"")))</f>
        <v>319000</v>
      </c>
      <c r="I258" s="4">
        <f t="shared" si="24"/>
        <v>25520</v>
      </c>
      <c r="J258" s="4">
        <f t="shared" si="25"/>
        <v>9570</v>
      </c>
      <c r="K258" s="4">
        <v>6218</v>
      </c>
      <c r="L258" s="4">
        <f t="shared" si="26"/>
        <v>1801540</v>
      </c>
      <c r="M258" s="4">
        <f t="shared" si="23"/>
        <v>1441232</v>
      </c>
      <c r="N258" s="5">
        <f t="shared" si="27"/>
        <v>360308</v>
      </c>
    </row>
    <row r="259" spans="1:14" x14ac:dyDescent="0.35">
      <c r="A259" t="s">
        <v>295</v>
      </c>
      <c r="B259" s="7">
        <v>45298</v>
      </c>
      <c r="C259" s="2" t="s">
        <v>14</v>
      </c>
      <c r="D259" s="2" t="s">
        <v>24</v>
      </c>
      <c r="E259" s="2" t="s">
        <v>25</v>
      </c>
      <c r="F259" t="s">
        <v>20</v>
      </c>
      <c r="G259" s="2">
        <v>4</v>
      </c>
      <c r="H259" s="3">
        <f t="shared" si="28"/>
        <v>345000</v>
      </c>
      <c r="I259" s="4">
        <f t="shared" si="24"/>
        <v>27600</v>
      </c>
      <c r="J259" s="4">
        <f t="shared" si="25"/>
        <v>10350</v>
      </c>
      <c r="K259" s="4">
        <v>8653</v>
      </c>
      <c r="L259" s="4">
        <f t="shared" si="26"/>
        <v>1566412</v>
      </c>
      <c r="M259" s="4">
        <f t="shared" ref="M259:M322" si="29">L259*0.8</f>
        <v>1253129.6000000001</v>
      </c>
      <c r="N259" s="5">
        <f t="shared" si="27"/>
        <v>313282.39999999991</v>
      </c>
    </row>
    <row r="260" spans="1:14" x14ac:dyDescent="0.35">
      <c r="A260" t="s">
        <v>296</v>
      </c>
      <c r="B260" s="7">
        <v>45641</v>
      </c>
      <c r="C260" s="2" t="s">
        <v>15</v>
      </c>
      <c r="D260" s="2" t="s">
        <v>26</v>
      </c>
      <c r="E260" s="2" t="s">
        <v>27</v>
      </c>
      <c r="F260" t="s">
        <v>21</v>
      </c>
      <c r="G260" s="2">
        <v>3</v>
      </c>
      <c r="H260" s="3">
        <f t="shared" si="28"/>
        <v>359000</v>
      </c>
      <c r="I260" s="4">
        <f t="shared" si="24"/>
        <v>28720</v>
      </c>
      <c r="J260" s="4">
        <f t="shared" si="25"/>
        <v>10770</v>
      </c>
      <c r="K260" s="4">
        <v>19331</v>
      </c>
      <c r="L260" s="4">
        <f t="shared" si="26"/>
        <v>1253463</v>
      </c>
      <c r="M260" s="4">
        <f t="shared" si="29"/>
        <v>1002770.4</v>
      </c>
      <c r="N260" s="5">
        <f t="shared" si="27"/>
        <v>250692.59999999998</v>
      </c>
    </row>
    <row r="261" spans="1:14" x14ac:dyDescent="0.35">
      <c r="A261" t="s">
        <v>297</v>
      </c>
      <c r="B261" s="7">
        <v>45571</v>
      </c>
      <c r="C261" s="2" t="s">
        <v>15</v>
      </c>
      <c r="D261" s="2" t="s">
        <v>28</v>
      </c>
      <c r="E261" s="2" t="s">
        <v>29</v>
      </c>
      <c r="F261" t="s">
        <v>20</v>
      </c>
      <c r="G261" s="2">
        <v>4</v>
      </c>
      <c r="H261" s="3">
        <f t="shared" si="28"/>
        <v>345000</v>
      </c>
      <c r="I261" s="4">
        <f t="shared" si="24"/>
        <v>27600</v>
      </c>
      <c r="J261" s="4">
        <f t="shared" si="25"/>
        <v>10350</v>
      </c>
      <c r="K261" s="4">
        <v>14045</v>
      </c>
      <c r="L261" s="4">
        <f t="shared" si="26"/>
        <v>1587980</v>
      </c>
      <c r="M261" s="4">
        <f t="shared" si="29"/>
        <v>1270384</v>
      </c>
      <c r="N261" s="5">
        <f t="shared" si="27"/>
        <v>317596</v>
      </c>
    </row>
    <row r="262" spans="1:14" x14ac:dyDescent="0.35">
      <c r="A262" t="s">
        <v>298</v>
      </c>
      <c r="B262" s="7">
        <v>45526</v>
      </c>
      <c r="C262" s="2" t="s">
        <v>16</v>
      </c>
      <c r="D262" s="2" t="s">
        <v>30</v>
      </c>
      <c r="E262" s="2" t="s">
        <v>31</v>
      </c>
      <c r="F262" t="s">
        <v>21</v>
      </c>
      <c r="G262" s="2">
        <v>3</v>
      </c>
      <c r="H262" s="3">
        <f t="shared" si="28"/>
        <v>359000</v>
      </c>
      <c r="I262" s="4">
        <f t="shared" si="24"/>
        <v>28720</v>
      </c>
      <c r="J262" s="4">
        <f t="shared" si="25"/>
        <v>10770</v>
      </c>
      <c r="K262" s="4">
        <v>10284</v>
      </c>
      <c r="L262" s="4">
        <f t="shared" si="26"/>
        <v>1226322</v>
      </c>
      <c r="M262" s="4">
        <f t="shared" si="29"/>
        <v>981057.60000000009</v>
      </c>
      <c r="N262" s="5">
        <f t="shared" si="27"/>
        <v>245264.39999999991</v>
      </c>
    </row>
    <row r="263" spans="1:14" x14ac:dyDescent="0.35">
      <c r="A263" t="s">
        <v>299</v>
      </c>
      <c r="B263" s="7">
        <v>45522</v>
      </c>
      <c r="C263" s="2" t="s">
        <v>16</v>
      </c>
      <c r="D263" s="2" t="s">
        <v>32</v>
      </c>
      <c r="E263" s="2" t="s">
        <v>33</v>
      </c>
      <c r="F263" t="s">
        <v>19</v>
      </c>
      <c r="G263" s="2">
        <v>2</v>
      </c>
      <c r="H263" s="3">
        <f t="shared" si="28"/>
        <v>319000</v>
      </c>
      <c r="I263" s="4">
        <f t="shared" si="24"/>
        <v>25520</v>
      </c>
      <c r="J263" s="4">
        <f t="shared" si="25"/>
        <v>9570</v>
      </c>
      <c r="K263" s="4">
        <v>12752</v>
      </c>
      <c r="L263" s="4">
        <f t="shared" si="26"/>
        <v>733684</v>
      </c>
      <c r="M263" s="4">
        <f t="shared" si="29"/>
        <v>586947.20000000007</v>
      </c>
      <c r="N263" s="5">
        <f t="shared" si="27"/>
        <v>146736.79999999993</v>
      </c>
    </row>
    <row r="264" spans="1:14" x14ac:dyDescent="0.35">
      <c r="A264" t="s">
        <v>300</v>
      </c>
      <c r="B264" s="7">
        <v>45480</v>
      </c>
      <c r="C264" s="2" t="s">
        <v>17</v>
      </c>
      <c r="D264" s="2" t="s">
        <v>34</v>
      </c>
      <c r="E264" s="2" t="s">
        <v>35</v>
      </c>
      <c r="F264" t="s">
        <v>21</v>
      </c>
      <c r="G264" s="2">
        <v>5</v>
      </c>
      <c r="H264" s="3">
        <f t="shared" si="28"/>
        <v>359000</v>
      </c>
      <c r="I264" s="4">
        <f t="shared" si="24"/>
        <v>28720</v>
      </c>
      <c r="J264" s="4">
        <f t="shared" si="25"/>
        <v>10770</v>
      </c>
      <c r="K264" s="4">
        <v>23624</v>
      </c>
      <c r="L264" s="4">
        <f t="shared" si="26"/>
        <v>2110570</v>
      </c>
      <c r="M264" s="4">
        <f t="shared" si="29"/>
        <v>1688456</v>
      </c>
      <c r="N264" s="5">
        <f t="shared" si="27"/>
        <v>422114</v>
      </c>
    </row>
    <row r="265" spans="1:14" x14ac:dyDescent="0.35">
      <c r="A265" t="s">
        <v>301</v>
      </c>
      <c r="B265" s="7">
        <v>45609</v>
      </c>
      <c r="C265" s="2" t="s">
        <v>18</v>
      </c>
      <c r="D265" s="2" t="s">
        <v>36</v>
      </c>
      <c r="E265" s="2" t="s">
        <v>37</v>
      </c>
      <c r="F265" t="s">
        <v>21</v>
      </c>
      <c r="G265" s="2">
        <v>4</v>
      </c>
      <c r="H265" s="3">
        <f t="shared" si="28"/>
        <v>359000</v>
      </c>
      <c r="I265" s="4">
        <f t="shared" si="24"/>
        <v>28720</v>
      </c>
      <c r="J265" s="4">
        <f t="shared" si="25"/>
        <v>10770</v>
      </c>
      <c r="K265" s="4">
        <v>5777</v>
      </c>
      <c r="L265" s="4">
        <f t="shared" si="26"/>
        <v>1617068</v>
      </c>
      <c r="M265" s="4">
        <f t="shared" si="29"/>
        <v>1293654.4000000001</v>
      </c>
      <c r="N265" s="5">
        <f t="shared" si="27"/>
        <v>323413.59999999986</v>
      </c>
    </row>
    <row r="266" spans="1:14" x14ac:dyDescent="0.35">
      <c r="A266" t="s">
        <v>302</v>
      </c>
      <c r="B266" s="7">
        <v>45469</v>
      </c>
      <c r="C266" s="2" t="s">
        <v>14</v>
      </c>
      <c r="D266" s="2" t="s">
        <v>22</v>
      </c>
      <c r="E266" s="2" t="s">
        <v>23</v>
      </c>
      <c r="F266" t="s">
        <v>19</v>
      </c>
      <c r="G266" s="2">
        <v>4</v>
      </c>
      <c r="H266" s="3">
        <f t="shared" si="28"/>
        <v>319000</v>
      </c>
      <c r="I266" s="4">
        <f t="shared" ref="I266:I329" si="30">H266*0.08</f>
        <v>25520</v>
      </c>
      <c r="J266" s="4">
        <f t="shared" ref="J266:J329" si="31">H266*0.03</f>
        <v>9570</v>
      </c>
      <c r="K266" s="4">
        <v>7929</v>
      </c>
      <c r="L266" s="4">
        <f t="shared" ref="L266:L329" si="32">G266*(H266+I266+J266+K266)</f>
        <v>1448076</v>
      </c>
      <c r="M266" s="4">
        <f t="shared" si="29"/>
        <v>1158460.8</v>
      </c>
      <c r="N266" s="5">
        <f t="shared" ref="N266:N329" si="33">L266-M266</f>
        <v>289615.19999999995</v>
      </c>
    </row>
    <row r="267" spans="1:14" x14ac:dyDescent="0.35">
      <c r="A267" t="s">
        <v>303</v>
      </c>
      <c r="B267" s="7">
        <v>45560</v>
      </c>
      <c r="C267" s="2" t="s">
        <v>14</v>
      </c>
      <c r="D267" s="2" t="s">
        <v>24</v>
      </c>
      <c r="E267" s="2" t="s">
        <v>25</v>
      </c>
      <c r="F267" t="s">
        <v>20</v>
      </c>
      <c r="G267" s="2">
        <v>3</v>
      </c>
      <c r="H267" s="3">
        <f t="shared" si="28"/>
        <v>345000</v>
      </c>
      <c r="I267" s="4">
        <f t="shared" si="30"/>
        <v>27600</v>
      </c>
      <c r="J267" s="4">
        <f t="shared" si="31"/>
        <v>10350</v>
      </c>
      <c r="K267" s="4">
        <v>20314</v>
      </c>
      <c r="L267" s="4">
        <f t="shared" si="32"/>
        <v>1209792</v>
      </c>
      <c r="M267" s="4">
        <f t="shared" si="29"/>
        <v>967833.60000000009</v>
      </c>
      <c r="N267" s="5">
        <f t="shared" si="33"/>
        <v>241958.39999999991</v>
      </c>
    </row>
    <row r="268" spans="1:14" x14ac:dyDescent="0.35">
      <c r="A268" t="s">
        <v>304</v>
      </c>
      <c r="B268" s="7">
        <v>45417</v>
      </c>
      <c r="C268" s="2" t="s">
        <v>15</v>
      </c>
      <c r="D268" s="2" t="s">
        <v>26</v>
      </c>
      <c r="E268" s="2" t="s">
        <v>27</v>
      </c>
      <c r="F268" t="s">
        <v>21</v>
      </c>
      <c r="G268" s="2">
        <v>1</v>
      </c>
      <c r="H268" s="3">
        <f t="shared" si="28"/>
        <v>359000</v>
      </c>
      <c r="I268" s="4">
        <f t="shared" si="30"/>
        <v>28720</v>
      </c>
      <c r="J268" s="4">
        <f t="shared" si="31"/>
        <v>10770</v>
      </c>
      <c r="K268" s="4">
        <v>23993</v>
      </c>
      <c r="L268" s="4">
        <f t="shared" si="32"/>
        <v>422483</v>
      </c>
      <c r="M268" s="4">
        <f t="shared" si="29"/>
        <v>337986.4</v>
      </c>
      <c r="N268" s="5">
        <f t="shared" si="33"/>
        <v>84496.599999999977</v>
      </c>
    </row>
    <row r="269" spans="1:14" x14ac:dyDescent="0.35">
      <c r="A269" t="s">
        <v>305</v>
      </c>
      <c r="B269" s="7">
        <v>45343</v>
      </c>
      <c r="C269" s="2" t="s">
        <v>15</v>
      </c>
      <c r="D269" s="2" t="s">
        <v>28</v>
      </c>
      <c r="E269" s="2" t="s">
        <v>29</v>
      </c>
      <c r="F269" t="s">
        <v>20</v>
      </c>
      <c r="G269" s="2">
        <v>1</v>
      </c>
      <c r="H269" s="3">
        <f t="shared" si="28"/>
        <v>345000</v>
      </c>
      <c r="I269" s="4">
        <f t="shared" si="30"/>
        <v>27600</v>
      </c>
      <c r="J269" s="4">
        <f t="shared" si="31"/>
        <v>10350</v>
      </c>
      <c r="K269" s="4">
        <v>18864</v>
      </c>
      <c r="L269" s="4">
        <f t="shared" si="32"/>
        <v>401814</v>
      </c>
      <c r="M269" s="4">
        <f t="shared" si="29"/>
        <v>321451.2</v>
      </c>
      <c r="N269" s="5">
        <f t="shared" si="33"/>
        <v>80362.799999999988</v>
      </c>
    </row>
    <row r="270" spans="1:14" x14ac:dyDescent="0.35">
      <c r="A270" t="s">
        <v>306</v>
      </c>
      <c r="B270" s="7">
        <v>45652</v>
      </c>
      <c r="C270" s="2" t="s">
        <v>16</v>
      </c>
      <c r="D270" s="2" t="s">
        <v>30</v>
      </c>
      <c r="E270" s="2" t="s">
        <v>31</v>
      </c>
      <c r="F270" t="s">
        <v>21</v>
      </c>
      <c r="G270" s="2">
        <v>2</v>
      </c>
      <c r="H270" s="3">
        <f t="shared" si="28"/>
        <v>359000</v>
      </c>
      <c r="I270" s="4">
        <f t="shared" si="30"/>
        <v>28720</v>
      </c>
      <c r="J270" s="4">
        <f t="shared" si="31"/>
        <v>10770</v>
      </c>
      <c r="K270" s="4">
        <v>22530</v>
      </c>
      <c r="L270" s="4">
        <f t="shared" si="32"/>
        <v>842040</v>
      </c>
      <c r="M270" s="4">
        <f t="shared" si="29"/>
        <v>673632</v>
      </c>
      <c r="N270" s="5">
        <f t="shared" si="33"/>
        <v>168408</v>
      </c>
    </row>
    <row r="271" spans="1:14" x14ac:dyDescent="0.35">
      <c r="A271" t="s">
        <v>307</v>
      </c>
      <c r="B271" s="7">
        <v>45373</v>
      </c>
      <c r="C271" s="2" t="s">
        <v>16</v>
      </c>
      <c r="D271" s="2" t="s">
        <v>32</v>
      </c>
      <c r="E271" s="2" t="s">
        <v>33</v>
      </c>
      <c r="F271" t="s">
        <v>19</v>
      </c>
      <c r="G271" s="2">
        <v>1</v>
      </c>
      <c r="H271" s="3">
        <f t="shared" si="28"/>
        <v>319000</v>
      </c>
      <c r="I271" s="4">
        <f t="shared" si="30"/>
        <v>25520</v>
      </c>
      <c r="J271" s="4">
        <f t="shared" si="31"/>
        <v>9570</v>
      </c>
      <c r="K271" s="4">
        <v>8945</v>
      </c>
      <c r="L271" s="4">
        <f t="shared" si="32"/>
        <v>363035</v>
      </c>
      <c r="M271" s="4">
        <f t="shared" si="29"/>
        <v>290428</v>
      </c>
      <c r="N271" s="5">
        <f t="shared" si="33"/>
        <v>72607</v>
      </c>
    </row>
    <row r="272" spans="1:14" x14ac:dyDescent="0.35">
      <c r="A272" t="s">
        <v>308</v>
      </c>
      <c r="B272" s="7">
        <v>45489</v>
      </c>
      <c r="C272" s="2" t="s">
        <v>17</v>
      </c>
      <c r="D272" s="2" t="s">
        <v>34</v>
      </c>
      <c r="E272" s="2" t="s">
        <v>35</v>
      </c>
      <c r="F272" t="s">
        <v>21</v>
      </c>
      <c r="G272" s="2">
        <v>5</v>
      </c>
      <c r="H272" s="3">
        <f t="shared" si="28"/>
        <v>359000</v>
      </c>
      <c r="I272" s="4">
        <f t="shared" si="30"/>
        <v>28720</v>
      </c>
      <c r="J272" s="4">
        <f t="shared" si="31"/>
        <v>10770</v>
      </c>
      <c r="K272" s="4">
        <v>22453</v>
      </c>
      <c r="L272" s="4">
        <f t="shared" si="32"/>
        <v>2104715</v>
      </c>
      <c r="M272" s="4">
        <f t="shared" si="29"/>
        <v>1683772</v>
      </c>
      <c r="N272" s="5">
        <f t="shared" si="33"/>
        <v>420943</v>
      </c>
    </row>
    <row r="273" spans="1:14" x14ac:dyDescent="0.35">
      <c r="A273" t="s">
        <v>309</v>
      </c>
      <c r="B273" s="7">
        <v>45307</v>
      </c>
      <c r="C273" s="2" t="s">
        <v>18</v>
      </c>
      <c r="D273" s="2" t="s">
        <v>36</v>
      </c>
      <c r="E273" s="2" t="s">
        <v>37</v>
      </c>
      <c r="F273" t="s">
        <v>21</v>
      </c>
      <c r="G273" s="2">
        <v>4</v>
      </c>
      <c r="H273" s="3">
        <f t="shared" si="28"/>
        <v>359000</v>
      </c>
      <c r="I273" s="4">
        <f t="shared" si="30"/>
        <v>28720</v>
      </c>
      <c r="J273" s="4">
        <f t="shared" si="31"/>
        <v>10770</v>
      </c>
      <c r="K273" s="4">
        <v>17018</v>
      </c>
      <c r="L273" s="4">
        <f t="shared" si="32"/>
        <v>1662032</v>
      </c>
      <c r="M273" s="4">
        <f t="shared" si="29"/>
        <v>1329625.6000000001</v>
      </c>
      <c r="N273" s="5">
        <f t="shared" si="33"/>
        <v>332406.39999999991</v>
      </c>
    </row>
    <row r="274" spans="1:14" x14ac:dyDescent="0.35">
      <c r="A274" t="s">
        <v>310</v>
      </c>
      <c r="B274" s="7">
        <v>45417</v>
      </c>
      <c r="C274" s="2" t="s">
        <v>14</v>
      </c>
      <c r="D274" s="2" t="s">
        <v>22</v>
      </c>
      <c r="E274" s="2" t="s">
        <v>23</v>
      </c>
      <c r="F274" t="s">
        <v>19</v>
      </c>
      <c r="G274" s="2">
        <v>4</v>
      </c>
      <c r="H274" s="3">
        <f t="shared" si="28"/>
        <v>319000</v>
      </c>
      <c r="I274" s="4">
        <f t="shared" si="30"/>
        <v>25520</v>
      </c>
      <c r="J274" s="4">
        <f t="shared" si="31"/>
        <v>9570</v>
      </c>
      <c r="K274" s="4">
        <v>22194</v>
      </c>
      <c r="L274" s="4">
        <f t="shared" si="32"/>
        <v>1505136</v>
      </c>
      <c r="M274" s="4">
        <f t="shared" si="29"/>
        <v>1204108.8</v>
      </c>
      <c r="N274" s="5">
        <f t="shared" si="33"/>
        <v>301027.19999999995</v>
      </c>
    </row>
    <row r="275" spans="1:14" x14ac:dyDescent="0.35">
      <c r="A275" t="s">
        <v>311</v>
      </c>
      <c r="B275" s="7">
        <v>45407</v>
      </c>
      <c r="C275" s="2" t="s">
        <v>14</v>
      </c>
      <c r="D275" s="2" t="s">
        <v>24</v>
      </c>
      <c r="E275" s="2" t="s">
        <v>25</v>
      </c>
      <c r="F275" t="s">
        <v>20</v>
      </c>
      <c r="G275" s="2">
        <v>2</v>
      </c>
      <c r="H275" s="3">
        <f t="shared" si="28"/>
        <v>345000</v>
      </c>
      <c r="I275" s="4">
        <f t="shared" si="30"/>
        <v>27600</v>
      </c>
      <c r="J275" s="4">
        <f t="shared" si="31"/>
        <v>10350</v>
      </c>
      <c r="K275" s="4">
        <v>18795</v>
      </c>
      <c r="L275" s="4">
        <f t="shared" si="32"/>
        <v>803490</v>
      </c>
      <c r="M275" s="4">
        <f t="shared" si="29"/>
        <v>642792</v>
      </c>
      <c r="N275" s="5">
        <f t="shared" si="33"/>
        <v>160698</v>
      </c>
    </row>
    <row r="276" spans="1:14" x14ac:dyDescent="0.35">
      <c r="A276" t="s">
        <v>312</v>
      </c>
      <c r="B276" s="7">
        <v>45462</v>
      </c>
      <c r="C276" s="2" t="s">
        <v>15</v>
      </c>
      <c r="D276" s="2" t="s">
        <v>26</v>
      </c>
      <c r="E276" s="2" t="s">
        <v>27</v>
      </c>
      <c r="F276" t="s">
        <v>21</v>
      </c>
      <c r="G276" s="2">
        <v>5</v>
      </c>
      <c r="H276" s="3">
        <f t="shared" si="28"/>
        <v>359000</v>
      </c>
      <c r="I276" s="4">
        <f t="shared" si="30"/>
        <v>28720</v>
      </c>
      <c r="J276" s="4">
        <f t="shared" si="31"/>
        <v>10770</v>
      </c>
      <c r="K276" s="4">
        <v>12356</v>
      </c>
      <c r="L276" s="4">
        <f t="shared" si="32"/>
        <v>2054230</v>
      </c>
      <c r="M276" s="4">
        <f t="shared" si="29"/>
        <v>1643384</v>
      </c>
      <c r="N276" s="5">
        <f t="shared" si="33"/>
        <v>410846</v>
      </c>
    </row>
    <row r="277" spans="1:14" x14ac:dyDescent="0.35">
      <c r="A277" t="s">
        <v>313</v>
      </c>
      <c r="B277" s="7">
        <v>45584</v>
      </c>
      <c r="C277" s="2" t="s">
        <v>15</v>
      </c>
      <c r="D277" s="2" t="s">
        <v>28</v>
      </c>
      <c r="E277" s="2" t="s">
        <v>29</v>
      </c>
      <c r="F277" t="s">
        <v>20</v>
      </c>
      <c r="G277" s="2">
        <v>2</v>
      </c>
      <c r="H277" s="3">
        <f t="shared" si="28"/>
        <v>345000</v>
      </c>
      <c r="I277" s="4">
        <f t="shared" si="30"/>
        <v>27600</v>
      </c>
      <c r="J277" s="4">
        <f t="shared" si="31"/>
        <v>10350</v>
      </c>
      <c r="K277" s="4">
        <v>21747</v>
      </c>
      <c r="L277" s="4">
        <f t="shared" si="32"/>
        <v>809394</v>
      </c>
      <c r="M277" s="4">
        <f t="shared" si="29"/>
        <v>647515.20000000007</v>
      </c>
      <c r="N277" s="5">
        <f t="shared" si="33"/>
        <v>161878.79999999993</v>
      </c>
    </row>
    <row r="278" spans="1:14" x14ac:dyDescent="0.35">
      <c r="A278" t="s">
        <v>314</v>
      </c>
      <c r="B278" s="7">
        <v>45494</v>
      </c>
      <c r="C278" s="2" t="s">
        <v>16</v>
      </c>
      <c r="D278" s="2" t="s">
        <v>30</v>
      </c>
      <c r="E278" s="2" t="s">
        <v>31</v>
      </c>
      <c r="F278" t="s">
        <v>21</v>
      </c>
      <c r="G278" s="2">
        <v>3</v>
      </c>
      <c r="H278" s="3">
        <f t="shared" si="28"/>
        <v>359000</v>
      </c>
      <c r="I278" s="4">
        <f t="shared" si="30"/>
        <v>28720</v>
      </c>
      <c r="J278" s="4">
        <f t="shared" si="31"/>
        <v>10770</v>
      </c>
      <c r="K278" s="4">
        <v>16318</v>
      </c>
      <c r="L278" s="4">
        <f t="shared" si="32"/>
        <v>1244424</v>
      </c>
      <c r="M278" s="4">
        <f t="shared" si="29"/>
        <v>995539.20000000007</v>
      </c>
      <c r="N278" s="5">
        <f t="shared" si="33"/>
        <v>248884.79999999993</v>
      </c>
    </row>
    <row r="279" spans="1:14" x14ac:dyDescent="0.35">
      <c r="A279" t="s">
        <v>315</v>
      </c>
      <c r="B279" s="7">
        <v>45294</v>
      </c>
      <c r="C279" s="2" t="s">
        <v>16</v>
      </c>
      <c r="D279" s="2" t="s">
        <v>32</v>
      </c>
      <c r="E279" s="2" t="s">
        <v>33</v>
      </c>
      <c r="F279" t="s">
        <v>19</v>
      </c>
      <c r="G279" s="2">
        <v>4</v>
      </c>
      <c r="H279" s="3">
        <f t="shared" si="28"/>
        <v>319000</v>
      </c>
      <c r="I279" s="4">
        <f t="shared" si="30"/>
        <v>25520</v>
      </c>
      <c r="J279" s="4">
        <f t="shared" si="31"/>
        <v>9570</v>
      </c>
      <c r="K279" s="4">
        <v>20450</v>
      </c>
      <c r="L279" s="4">
        <f t="shared" si="32"/>
        <v>1498160</v>
      </c>
      <c r="M279" s="4">
        <f t="shared" si="29"/>
        <v>1198528</v>
      </c>
      <c r="N279" s="5">
        <f t="shared" si="33"/>
        <v>299632</v>
      </c>
    </row>
    <row r="280" spans="1:14" x14ac:dyDescent="0.35">
      <c r="A280" t="s">
        <v>316</v>
      </c>
      <c r="B280" s="7">
        <v>45369</v>
      </c>
      <c r="C280" s="2" t="s">
        <v>17</v>
      </c>
      <c r="D280" s="2" t="s">
        <v>34</v>
      </c>
      <c r="E280" s="2" t="s">
        <v>35</v>
      </c>
      <c r="F280" t="s">
        <v>21</v>
      </c>
      <c r="G280" s="2">
        <v>5</v>
      </c>
      <c r="H280" s="3">
        <f t="shared" si="28"/>
        <v>359000</v>
      </c>
      <c r="I280" s="4">
        <f t="shared" si="30"/>
        <v>28720</v>
      </c>
      <c r="J280" s="4">
        <f t="shared" si="31"/>
        <v>10770</v>
      </c>
      <c r="K280" s="4">
        <v>19046</v>
      </c>
      <c r="L280" s="4">
        <f t="shared" si="32"/>
        <v>2087680</v>
      </c>
      <c r="M280" s="4">
        <f t="shared" si="29"/>
        <v>1670144</v>
      </c>
      <c r="N280" s="5">
        <f t="shared" si="33"/>
        <v>417536</v>
      </c>
    </row>
    <row r="281" spans="1:14" x14ac:dyDescent="0.35">
      <c r="A281" t="s">
        <v>317</v>
      </c>
      <c r="B281" s="7">
        <v>45586</v>
      </c>
      <c r="C281" s="2" t="s">
        <v>18</v>
      </c>
      <c r="D281" s="2" t="s">
        <v>36</v>
      </c>
      <c r="E281" s="2" t="s">
        <v>37</v>
      </c>
      <c r="F281" t="s">
        <v>21</v>
      </c>
      <c r="G281" s="2">
        <v>2</v>
      </c>
      <c r="H281" s="3">
        <f t="shared" si="28"/>
        <v>359000</v>
      </c>
      <c r="I281" s="4">
        <f t="shared" si="30"/>
        <v>28720</v>
      </c>
      <c r="J281" s="4">
        <f t="shared" si="31"/>
        <v>10770</v>
      </c>
      <c r="K281" s="4">
        <v>7944</v>
      </c>
      <c r="L281" s="4">
        <f t="shared" si="32"/>
        <v>812868</v>
      </c>
      <c r="M281" s="4">
        <f t="shared" si="29"/>
        <v>650294.4</v>
      </c>
      <c r="N281" s="5">
        <f t="shared" si="33"/>
        <v>162573.59999999998</v>
      </c>
    </row>
    <row r="282" spans="1:14" x14ac:dyDescent="0.35">
      <c r="A282" t="s">
        <v>318</v>
      </c>
      <c r="B282" s="7">
        <v>45430</v>
      </c>
      <c r="C282" s="2" t="s">
        <v>14</v>
      </c>
      <c r="D282" s="2" t="s">
        <v>22</v>
      </c>
      <c r="E282" s="2" t="s">
        <v>23</v>
      </c>
      <c r="F282" t="s">
        <v>19</v>
      </c>
      <c r="G282" s="2">
        <v>3</v>
      </c>
      <c r="H282" s="3">
        <f t="shared" si="28"/>
        <v>319000</v>
      </c>
      <c r="I282" s="4">
        <f t="shared" si="30"/>
        <v>25520</v>
      </c>
      <c r="J282" s="4">
        <f t="shared" si="31"/>
        <v>9570</v>
      </c>
      <c r="K282" s="4">
        <v>6854</v>
      </c>
      <c r="L282" s="4">
        <f t="shared" si="32"/>
        <v>1082832</v>
      </c>
      <c r="M282" s="4">
        <f t="shared" si="29"/>
        <v>866265.60000000009</v>
      </c>
      <c r="N282" s="5">
        <f t="shared" si="33"/>
        <v>216566.39999999991</v>
      </c>
    </row>
    <row r="283" spans="1:14" x14ac:dyDescent="0.35">
      <c r="A283" t="s">
        <v>319</v>
      </c>
      <c r="B283" s="7">
        <v>45455</v>
      </c>
      <c r="C283" s="2" t="s">
        <v>14</v>
      </c>
      <c r="D283" s="2" t="s">
        <v>24</v>
      </c>
      <c r="E283" s="2" t="s">
        <v>25</v>
      </c>
      <c r="F283" t="s">
        <v>20</v>
      </c>
      <c r="G283" s="2">
        <v>2</v>
      </c>
      <c r="H283" s="3">
        <f t="shared" si="28"/>
        <v>345000</v>
      </c>
      <c r="I283" s="4">
        <f t="shared" si="30"/>
        <v>27600</v>
      </c>
      <c r="J283" s="4">
        <f t="shared" si="31"/>
        <v>10350</v>
      </c>
      <c r="K283" s="4">
        <v>24978</v>
      </c>
      <c r="L283" s="4">
        <f t="shared" si="32"/>
        <v>815856</v>
      </c>
      <c r="M283" s="4">
        <f t="shared" si="29"/>
        <v>652684.80000000005</v>
      </c>
      <c r="N283" s="5">
        <f t="shared" si="33"/>
        <v>163171.19999999995</v>
      </c>
    </row>
    <row r="284" spans="1:14" x14ac:dyDescent="0.35">
      <c r="A284" t="s">
        <v>320</v>
      </c>
      <c r="B284" s="7">
        <v>45611</v>
      </c>
      <c r="C284" s="2" t="s">
        <v>15</v>
      </c>
      <c r="D284" s="2" t="s">
        <v>26</v>
      </c>
      <c r="E284" s="2" t="s">
        <v>27</v>
      </c>
      <c r="F284" t="s">
        <v>21</v>
      </c>
      <c r="G284" s="2">
        <v>3</v>
      </c>
      <c r="H284" s="3">
        <f t="shared" si="28"/>
        <v>359000</v>
      </c>
      <c r="I284" s="4">
        <f t="shared" si="30"/>
        <v>28720</v>
      </c>
      <c r="J284" s="4">
        <f t="shared" si="31"/>
        <v>10770</v>
      </c>
      <c r="K284" s="4">
        <v>20778</v>
      </c>
      <c r="L284" s="4">
        <f t="shared" si="32"/>
        <v>1257804</v>
      </c>
      <c r="M284" s="4">
        <f t="shared" si="29"/>
        <v>1006243.2000000001</v>
      </c>
      <c r="N284" s="5">
        <f t="shared" si="33"/>
        <v>251560.79999999993</v>
      </c>
    </row>
    <row r="285" spans="1:14" x14ac:dyDescent="0.35">
      <c r="A285" t="s">
        <v>321</v>
      </c>
      <c r="B285" s="7">
        <v>45587</v>
      </c>
      <c r="C285" s="2" t="s">
        <v>15</v>
      </c>
      <c r="D285" s="2" t="s">
        <v>28</v>
      </c>
      <c r="E285" s="2" t="s">
        <v>29</v>
      </c>
      <c r="F285" t="s">
        <v>20</v>
      </c>
      <c r="G285" s="2">
        <v>3</v>
      </c>
      <c r="H285" s="3">
        <f t="shared" si="28"/>
        <v>345000</v>
      </c>
      <c r="I285" s="4">
        <f t="shared" si="30"/>
        <v>27600</v>
      </c>
      <c r="J285" s="4">
        <f t="shared" si="31"/>
        <v>10350</v>
      </c>
      <c r="K285" s="4">
        <v>9746</v>
      </c>
      <c r="L285" s="4">
        <f t="shared" si="32"/>
        <v>1178088</v>
      </c>
      <c r="M285" s="4">
        <f t="shared" si="29"/>
        <v>942470.4</v>
      </c>
      <c r="N285" s="5">
        <f t="shared" si="33"/>
        <v>235617.59999999998</v>
      </c>
    </row>
    <row r="286" spans="1:14" x14ac:dyDescent="0.35">
      <c r="A286" t="s">
        <v>322</v>
      </c>
      <c r="B286" s="7">
        <v>45652</v>
      </c>
      <c r="C286" s="2" t="s">
        <v>16</v>
      </c>
      <c r="D286" s="2" t="s">
        <v>30</v>
      </c>
      <c r="E286" s="2" t="s">
        <v>31</v>
      </c>
      <c r="F286" t="s">
        <v>21</v>
      </c>
      <c r="G286" s="2">
        <v>4</v>
      </c>
      <c r="H286" s="3">
        <f t="shared" si="28"/>
        <v>359000</v>
      </c>
      <c r="I286" s="4">
        <f t="shared" si="30"/>
        <v>28720</v>
      </c>
      <c r="J286" s="4">
        <f t="shared" si="31"/>
        <v>10770</v>
      </c>
      <c r="K286" s="4">
        <v>17775</v>
      </c>
      <c r="L286" s="4">
        <f t="shared" si="32"/>
        <v>1665060</v>
      </c>
      <c r="M286" s="4">
        <f t="shared" si="29"/>
        <v>1332048</v>
      </c>
      <c r="N286" s="5">
        <f t="shared" si="33"/>
        <v>333012</v>
      </c>
    </row>
    <row r="287" spans="1:14" x14ac:dyDescent="0.35">
      <c r="A287" t="s">
        <v>323</v>
      </c>
      <c r="B287" s="7">
        <v>45474</v>
      </c>
      <c r="C287" s="2" t="s">
        <v>16</v>
      </c>
      <c r="D287" s="2" t="s">
        <v>32</v>
      </c>
      <c r="E287" s="2" t="s">
        <v>33</v>
      </c>
      <c r="F287" t="s">
        <v>19</v>
      </c>
      <c r="G287" s="2">
        <v>3</v>
      </c>
      <c r="H287" s="3">
        <f t="shared" si="28"/>
        <v>319000</v>
      </c>
      <c r="I287" s="4">
        <f t="shared" si="30"/>
        <v>25520</v>
      </c>
      <c r="J287" s="4">
        <f t="shared" si="31"/>
        <v>9570</v>
      </c>
      <c r="K287" s="4">
        <v>12188</v>
      </c>
      <c r="L287" s="4">
        <f t="shared" si="32"/>
        <v>1098834</v>
      </c>
      <c r="M287" s="4">
        <f t="shared" si="29"/>
        <v>879067.20000000007</v>
      </c>
      <c r="N287" s="5">
        <f t="shared" si="33"/>
        <v>219766.79999999993</v>
      </c>
    </row>
    <row r="288" spans="1:14" x14ac:dyDescent="0.35">
      <c r="A288" t="s">
        <v>324</v>
      </c>
      <c r="B288" s="7">
        <v>45510</v>
      </c>
      <c r="C288" s="2" t="s">
        <v>17</v>
      </c>
      <c r="D288" s="2" t="s">
        <v>34</v>
      </c>
      <c r="E288" s="2" t="s">
        <v>35</v>
      </c>
      <c r="F288" t="s">
        <v>21</v>
      </c>
      <c r="G288" s="2">
        <v>4</v>
      </c>
      <c r="H288" s="3">
        <f t="shared" si="28"/>
        <v>359000</v>
      </c>
      <c r="I288" s="4">
        <f t="shared" si="30"/>
        <v>28720</v>
      </c>
      <c r="J288" s="4">
        <f t="shared" si="31"/>
        <v>10770</v>
      </c>
      <c r="K288" s="4">
        <v>21126</v>
      </c>
      <c r="L288" s="4">
        <f t="shared" si="32"/>
        <v>1678464</v>
      </c>
      <c r="M288" s="4">
        <f t="shared" si="29"/>
        <v>1342771.2000000002</v>
      </c>
      <c r="N288" s="5">
        <f t="shared" si="33"/>
        <v>335692.79999999981</v>
      </c>
    </row>
    <row r="289" spans="1:14" x14ac:dyDescent="0.35">
      <c r="A289" t="s">
        <v>325</v>
      </c>
      <c r="B289" s="7">
        <v>45337</v>
      </c>
      <c r="C289" s="2" t="s">
        <v>18</v>
      </c>
      <c r="D289" s="2" t="s">
        <v>36</v>
      </c>
      <c r="E289" s="2" t="s">
        <v>37</v>
      </c>
      <c r="F289" t="s">
        <v>21</v>
      </c>
      <c r="G289" s="2">
        <v>4</v>
      </c>
      <c r="H289" s="3">
        <f t="shared" si="28"/>
        <v>359000</v>
      </c>
      <c r="I289" s="4">
        <f t="shared" si="30"/>
        <v>28720</v>
      </c>
      <c r="J289" s="4">
        <f t="shared" si="31"/>
        <v>10770</v>
      </c>
      <c r="K289" s="4">
        <v>22848</v>
      </c>
      <c r="L289" s="4">
        <f t="shared" si="32"/>
        <v>1685352</v>
      </c>
      <c r="M289" s="4">
        <f t="shared" si="29"/>
        <v>1348281.6</v>
      </c>
      <c r="N289" s="5">
        <f t="shared" si="33"/>
        <v>337070.39999999991</v>
      </c>
    </row>
    <row r="290" spans="1:14" x14ac:dyDescent="0.35">
      <c r="A290" t="s">
        <v>326</v>
      </c>
      <c r="B290" s="7">
        <v>45403</v>
      </c>
      <c r="C290" s="2" t="s">
        <v>14</v>
      </c>
      <c r="D290" s="2" t="s">
        <v>22</v>
      </c>
      <c r="E290" s="2" t="s">
        <v>23</v>
      </c>
      <c r="F290" t="s">
        <v>19</v>
      </c>
      <c r="G290" s="2">
        <v>4</v>
      </c>
      <c r="H290" s="3">
        <f t="shared" si="28"/>
        <v>319000</v>
      </c>
      <c r="I290" s="4">
        <f t="shared" si="30"/>
        <v>25520</v>
      </c>
      <c r="J290" s="4">
        <f t="shared" si="31"/>
        <v>9570</v>
      </c>
      <c r="K290" s="4">
        <v>18817</v>
      </c>
      <c r="L290" s="4">
        <f t="shared" si="32"/>
        <v>1491628</v>
      </c>
      <c r="M290" s="4">
        <f t="shared" si="29"/>
        <v>1193302.4000000001</v>
      </c>
      <c r="N290" s="5">
        <f t="shared" si="33"/>
        <v>298325.59999999986</v>
      </c>
    </row>
    <row r="291" spans="1:14" x14ac:dyDescent="0.35">
      <c r="A291" t="s">
        <v>327</v>
      </c>
      <c r="B291" s="7">
        <v>45602</v>
      </c>
      <c r="C291" s="2" t="s">
        <v>14</v>
      </c>
      <c r="D291" s="2" t="s">
        <v>24</v>
      </c>
      <c r="E291" s="2" t="s">
        <v>25</v>
      </c>
      <c r="F291" t="s">
        <v>20</v>
      </c>
      <c r="G291" s="2">
        <v>5</v>
      </c>
      <c r="H291" s="3">
        <f t="shared" si="28"/>
        <v>345000</v>
      </c>
      <c r="I291" s="4">
        <f t="shared" si="30"/>
        <v>27600</v>
      </c>
      <c r="J291" s="4">
        <f t="shared" si="31"/>
        <v>10350</v>
      </c>
      <c r="K291" s="4">
        <v>8977</v>
      </c>
      <c r="L291" s="4">
        <f t="shared" si="32"/>
        <v>1959635</v>
      </c>
      <c r="M291" s="4">
        <f t="shared" si="29"/>
        <v>1567708</v>
      </c>
      <c r="N291" s="5">
        <f t="shared" si="33"/>
        <v>391927</v>
      </c>
    </row>
    <row r="292" spans="1:14" x14ac:dyDescent="0.35">
      <c r="A292" t="s">
        <v>328</v>
      </c>
      <c r="B292" s="7">
        <v>45309</v>
      </c>
      <c r="C292" s="2" t="s">
        <v>15</v>
      </c>
      <c r="D292" s="2" t="s">
        <v>26</v>
      </c>
      <c r="E292" s="2" t="s">
        <v>27</v>
      </c>
      <c r="F292" t="s">
        <v>21</v>
      </c>
      <c r="G292" s="2">
        <v>4</v>
      </c>
      <c r="H292" s="3">
        <f t="shared" si="28"/>
        <v>359000</v>
      </c>
      <c r="I292" s="4">
        <f t="shared" si="30"/>
        <v>28720</v>
      </c>
      <c r="J292" s="4">
        <f t="shared" si="31"/>
        <v>10770</v>
      </c>
      <c r="K292" s="4">
        <v>15666</v>
      </c>
      <c r="L292" s="4">
        <f t="shared" si="32"/>
        <v>1656624</v>
      </c>
      <c r="M292" s="4">
        <f t="shared" si="29"/>
        <v>1325299.2000000002</v>
      </c>
      <c r="N292" s="5">
        <f t="shared" si="33"/>
        <v>331324.79999999981</v>
      </c>
    </row>
    <row r="293" spans="1:14" x14ac:dyDescent="0.35">
      <c r="A293" t="s">
        <v>329</v>
      </c>
      <c r="B293" s="7">
        <v>45612</v>
      </c>
      <c r="C293" s="2" t="s">
        <v>15</v>
      </c>
      <c r="D293" s="2" t="s">
        <v>28</v>
      </c>
      <c r="E293" s="2" t="s">
        <v>29</v>
      </c>
      <c r="F293" t="s">
        <v>20</v>
      </c>
      <c r="G293" s="2">
        <v>1</v>
      </c>
      <c r="H293" s="3">
        <f t="shared" si="28"/>
        <v>345000</v>
      </c>
      <c r="I293" s="4">
        <f t="shared" si="30"/>
        <v>27600</v>
      </c>
      <c r="J293" s="4">
        <f t="shared" si="31"/>
        <v>10350</v>
      </c>
      <c r="K293" s="4">
        <v>12579</v>
      </c>
      <c r="L293" s="4">
        <f t="shared" si="32"/>
        <v>395529</v>
      </c>
      <c r="M293" s="4">
        <f t="shared" si="29"/>
        <v>316423.2</v>
      </c>
      <c r="N293" s="5">
        <f t="shared" si="33"/>
        <v>79105.799999999988</v>
      </c>
    </row>
    <row r="294" spans="1:14" x14ac:dyDescent="0.35">
      <c r="A294" t="s">
        <v>330</v>
      </c>
      <c r="B294" s="7">
        <v>45536</v>
      </c>
      <c r="C294" s="2" t="s">
        <v>16</v>
      </c>
      <c r="D294" s="2" t="s">
        <v>30</v>
      </c>
      <c r="E294" s="2" t="s">
        <v>31</v>
      </c>
      <c r="F294" t="s">
        <v>21</v>
      </c>
      <c r="G294" s="2">
        <v>4</v>
      </c>
      <c r="H294" s="3">
        <f t="shared" si="28"/>
        <v>359000</v>
      </c>
      <c r="I294" s="4">
        <f t="shared" si="30"/>
        <v>28720</v>
      </c>
      <c r="J294" s="4">
        <f t="shared" si="31"/>
        <v>10770</v>
      </c>
      <c r="K294" s="4">
        <v>17196</v>
      </c>
      <c r="L294" s="4">
        <f t="shared" si="32"/>
        <v>1662744</v>
      </c>
      <c r="M294" s="4">
        <f t="shared" si="29"/>
        <v>1330195.2000000002</v>
      </c>
      <c r="N294" s="5">
        <f t="shared" si="33"/>
        <v>332548.79999999981</v>
      </c>
    </row>
    <row r="295" spans="1:14" x14ac:dyDescent="0.35">
      <c r="A295" t="s">
        <v>331</v>
      </c>
      <c r="B295" s="7">
        <v>45526</v>
      </c>
      <c r="C295" s="2" t="s">
        <v>16</v>
      </c>
      <c r="D295" s="2" t="s">
        <v>32</v>
      </c>
      <c r="E295" s="2" t="s">
        <v>33</v>
      </c>
      <c r="F295" t="s">
        <v>19</v>
      </c>
      <c r="G295" s="2">
        <v>1</v>
      </c>
      <c r="H295" s="3">
        <f t="shared" si="28"/>
        <v>319000</v>
      </c>
      <c r="I295" s="4">
        <f t="shared" si="30"/>
        <v>25520</v>
      </c>
      <c r="J295" s="4">
        <f t="shared" si="31"/>
        <v>9570</v>
      </c>
      <c r="K295" s="4">
        <v>16008</v>
      </c>
      <c r="L295" s="4">
        <f t="shared" si="32"/>
        <v>370098</v>
      </c>
      <c r="M295" s="4">
        <f t="shared" si="29"/>
        <v>296078.40000000002</v>
      </c>
      <c r="N295" s="5">
        <f t="shared" si="33"/>
        <v>74019.599999999977</v>
      </c>
    </row>
    <row r="296" spans="1:14" x14ac:dyDescent="0.35">
      <c r="A296" t="s">
        <v>332</v>
      </c>
      <c r="B296" s="7">
        <v>45369</v>
      </c>
      <c r="C296" s="2" t="s">
        <v>17</v>
      </c>
      <c r="D296" s="2" t="s">
        <v>34</v>
      </c>
      <c r="E296" s="2" t="s">
        <v>35</v>
      </c>
      <c r="F296" t="s">
        <v>21</v>
      </c>
      <c r="G296" s="2">
        <v>3</v>
      </c>
      <c r="H296" s="3">
        <f t="shared" si="28"/>
        <v>359000</v>
      </c>
      <c r="I296" s="4">
        <f t="shared" si="30"/>
        <v>28720</v>
      </c>
      <c r="J296" s="4">
        <f t="shared" si="31"/>
        <v>10770</v>
      </c>
      <c r="K296" s="4">
        <v>23038</v>
      </c>
      <c r="L296" s="4">
        <f t="shared" si="32"/>
        <v>1264584</v>
      </c>
      <c r="M296" s="4">
        <f t="shared" si="29"/>
        <v>1011667.2000000001</v>
      </c>
      <c r="N296" s="5">
        <f t="shared" si="33"/>
        <v>252916.79999999993</v>
      </c>
    </row>
    <row r="297" spans="1:14" x14ac:dyDescent="0.35">
      <c r="A297" t="s">
        <v>333</v>
      </c>
      <c r="B297" s="7">
        <v>45366</v>
      </c>
      <c r="C297" s="2" t="s">
        <v>18</v>
      </c>
      <c r="D297" s="2" t="s">
        <v>36</v>
      </c>
      <c r="E297" s="2" t="s">
        <v>37</v>
      </c>
      <c r="F297" t="s">
        <v>21</v>
      </c>
      <c r="G297" s="2">
        <v>2</v>
      </c>
      <c r="H297" s="3">
        <f t="shared" si="28"/>
        <v>359000</v>
      </c>
      <c r="I297" s="4">
        <f t="shared" si="30"/>
        <v>28720</v>
      </c>
      <c r="J297" s="4">
        <f t="shared" si="31"/>
        <v>10770</v>
      </c>
      <c r="K297" s="4">
        <v>17796</v>
      </c>
      <c r="L297" s="4">
        <f t="shared" si="32"/>
        <v>832572</v>
      </c>
      <c r="M297" s="4">
        <f t="shared" si="29"/>
        <v>666057.60000000009</v>
      </c>
      <c r="N297" s="5">
        <f t="shared" si="33"/>
        <v>166514.39999999991</v>
      </c>
    </row>
    <row r="298" spans="1:14" x14ac:dyDescent="0.35">
      <c r="A298" t="s">
        <v>334</v>
      </c>
      <c r="B298" s="7">
        <v>45552</v>
      </c>
      <c r="C298" s="2" t="s">
        <v>14</v>
      </c>
      <c r="D298" s="2" t="s">
        <v>22</v>
      </c>
      <c r="E298" s="2" t="s">
        <v>23</v>
      </c>
      <c r="F298" t="s">
        <v>19</v>
      </c>
      <c r="G298" s="2">
        <v>4</v>
      </c>
      <c r="H298" s="3">
        <f t="shared" si="28"/>
        <v>319000</v>
      </c>
      <c r="I298" s="4">
        <f t="shared" si="30"/>
        <v>25520</v>
      </c>
      <c r="J298" s="4">
        <f t="shared" si="31"/>
        <v>9570</v>
      </c>
      <c r="K298" s="4">
        <v>22448</v>
      </c>
      <c r="L298" s="4">
        <f t="shared" si="32"/>
        <v>1506152</v>
      </c>
      <c r="M298" s="4">
        <f t="shared" si="29"/>
        <v>1204921.6000000001</v>
      </c>
      <c r="N298" s="5">
        <f t="shared" si="33"/>
        <v>301230.39999999991</v>
      </c>
    </row>
    <row r="299" spans="1:14" x14ac:dyDescent="0.35">
      <c r="A299" t="s">
        <v>335</v>
      </c>
      <c r="B299" s="7">
        <v>45603</v>
      </c>
      <c r="C299" s="2" t="s">
        <v>14</v>
      </c>
      <c r="D299" s="2" t="s">
        <v>24</v>
      </c>
      <c r="E299" s="2" t="s">
        <v>25</v>
      </c>
      <c r="F299" t="s">
        <v>20</v>
      </c>
      <c r="G299" s="2">
        <v>2</v>
      </c>
      <c r="H299" s="3">
        <f t="shared" si="28"/>
        <v>345000</v>
      </c>
      <c r="I299" s="4">
        <f t="shared" si="30"/>
        <v>27600</v>
      </c>
      <c r="J299" s="4">
        <f t="shared" si="31"/>
        <v>10350</v>
      </c>
      <c r="K299" s="4">
        <v>24536</v>
      </c>
      <c r="L299" s="4">
        <f t="shared" si="32"/>
        <v>814972</v>
      </c>
      <c r="M299" s="4">
        <f t="shared" si="29"/>
        <v>651977.60000000009</v>
      </c>
      <c r="N299" s="5">
        <f t="shared" si="33"/>
        <v>162994.39999999991</v>
      </c>
    </row>
    <row r="300" spans="1:14" x14ac:dyDescent="0.35">
      <c r="A300" t="s">
        <v>336</v>
      </c>
      <c r="B300" s="7">
        <v>45559</v>
      </c>
      <c r="C300" s="2" t="s">
        <v>15</v>
      </c>
      <c r="D300" s="2" t="s">
        <v>26</v>
      </c>
      <c r="E300" s="2" t="s">
        <v>27</v>
      </c>
      <c r="F300" t="s">
        <v>21</v>
      </c>
      <c r="G300" s="2">
        <v>2</v>
      </c>
      <c r="H300" s="3">
        <f t="shared" si="28"/>
        <v>359000</v>
      </c>
      <c r="I300" s="4">
        <f t="shared" si="30"/>
        <v>28720</v>
      </c>
      <c r="J300" s="4">
        <f t="shared" si="31"/>
        <v>10770</v>
      </c>
      <c r="K300" s="4">
        <v>10449</v>
      </c>
      <c r="L300" s="4">
        <f t="shared" si="32"/>
        <v>817878</v>
      </c>
      <c r="M300" s="4">
        <f t="shared" si="29"/>
        <v>654302.4</v>
      </c>
      <c r="N300" s="5">
        <f t="shared" si="33"/>
        <v>163575.59999999998</v>
      </c>
    </row>
    <row r="301" spans="1:14" x14ac:dyDescent="0.35">
      <c r="A301" t="s">
        <v>337</v>
      </c>
      <c r="B301" s="7">
        <v>45333</v>
      </c>
      <c r="C301" s="2" t="s">
        <v>15</v>
      </c>
      <c r="D301" s="2" t="s">
        <v>28</v>
      </c>
      <c r="E301" s="2" t="s">
        <v>29</v>
      </c>
      <c r="F301" t="s">
        <v>20</v>
      </c>
      <c r="G301" s="2">
        <v>2</v>
      </c>
      <c r="H301" s="3">
        <f t="shared" si="28"/>
        <v>345000</v>
      </c>
      <c r="I301" s="4">
        <f t="shared" si="30"/>
        <v>27600</v>
      </c>
      <c r="J301" s="4">
        <f t="shared" si="31"/>
        <v>10350</v>
      </c>
      <c r="K301" s="4">
        <v>18878</v>
      </c>
      <c r="L301" s="4">
        <f t="shared" si="32"/>
        <v>803656</v>
      </c>
      <c r="M301" s="4">
        <f t="shared" si="29"/>
        <v>642924.80000000005</v>
      </c>
      <c r="N301" s="5">
        <f t="shared" si="33"/>
        <v>160731.19999999995</v>
      </c>
    </row>
    <row r="302" spans="1:14" x14ac:dyDescent="0.35">
      <c r="A302" t="s">
        <v>338</v>
      </c>
      <c r="B302" s="7">
        <v>45401</v>
      </c>
      <c r="C302" s="2" t="s">
        <v>16</v>
      </c>
      <c r="D302" s="2" t="s">
        <v>30</v>
      </c>
      <c r="E302" s="2" t="s">
        <v>31</v>
      </c>
      <c r="F302" t="s">
        <v>21</v>
      </c>
      <c r="G302" s="2">
        <v>5</v>
      </c>
      <c r="H302" s="3">
        <f t="shared" si="28"/>
        <v>359000</v>
      </c>
      <c r="I302" s="4">
        <f t="shared" si="30"/>
        <v>28720</v>
      </c>
      <c r="J302" s="4">
        <f t="shared" si="31"/>
        <v>10770</v>
      </c>
      <c r="K302" s="4">
        <v>9798</v>
      </c>
      <c r="L302" s="4">
        <f t="shared" si="32"/>
        <v>2041440</v>
      </c>
      <c r="M302" s="4">
        <f t="shared" si="29"/>
        <v>1633152</v>
      </c>
      <c r="N302" s="5">
        <f t="shared" si="33"/>
        <v>408288</v>
      </c>
    </row>
    <row r="303" spans="1:14" x14ac:dyDescent="0.35">
      <c r="A303" t="s">
        <v>339</v>
      </c>
      <c r="B303" s="7">
        <v>45429</v>
      </c>
      <c r="C303" s="2" t="s">
        <v>16</v>
      </c>
      <c r="D303" s="2" t="s">
        <v>32</v>
      </c>
      <c r="E303" s="2" t="s">
        <v>33</v>
      </c>
      <c r="F303" t="s">
        <v>19</v>
      </c>
      <c r="G303" s="2">
        <v>5</v>
      </c>
      <c r="H303" s="3">
        <f t="shared" si="28"/>
        <v>319000</v>
      </c>
      <c r="I303" s="4">
        <f t="shared" si="30"/>
        <v>25520</v>
      </c>
      <c r="J303" s="4">
        <f t="shared" si="31"/>
        <v>9570</v>
      </c>
      <c r="K303" s="4">
        <v>11785</v>
      </c>
      <c r="L303" s="4">
        <f t="shared" si="32"/>
        <v>1829375</v>
      </c>
      <c r="M303" s="4">
        <f t="shared" si="29"/>
        <v>1463500</v>
      </c>
      <c r="N303" s="5">
        <f t="shared" si="33"/>
        <v>365875</v>
      </c>
    </row>
    <row r="304" spans="1:14" x14ac:dyDescent="0.35">
      <c r="A304" t="s">
        <v>340</v>
      </c>
      <c r="B304" s="7">
        <v>45487</v>
      </c>
      <c r="C304" s="2" t="s">
        <v>17</v>
      </c>
      <c r="D304" s="2" t="s">
        <v>34</v>
      </c>
      <c r="E304" s="2" t="s">
        <v>35</v>
      </c>
      <c r="F304" t="s">
        <v>21</v>
      </c>
      <c r="G304" s="2">
        <v>2</v>
      </c>
      <c r="H304" s="3">
        <f t="shared" si="28"/>
        <v>359000</v>
      </c>
      <c r="I304" s="4">
        <f t="shared" si="30"/>
        <v>28720</v>
      </c>
      <c r="J304" s="4">
        <f t="shared" si="31"/>
        <v>10770</v>
      </c>
      <c r="K304" s="4">
        <v>13020</v>
      </c>
      <c r="L304" s="4">
        <f t="shared" si="32"/>
        <v>823020</v>
      </c>
      <c r="M304" s="4">
        <f t="shared" si="29"/>
        <v>658416</v>
      </c>
      <c r="N304" s="5">
        <f t="shared" si="33"/>
        <v>164604</v>
      </c>
    </row>
    <row r="305" spans="1:14" x14ac:dyDescent="0.35">
      <c r="A305" t="s">
        <v>341</v>
      </c>
      <c r="B305" s="7">
        <v>45579</v>
      </c>
      <c r="C305" s="2" t="s">
        <v>18</v>
      </c>
      <c r="D305" s="2" t="s">
        <v>36</v>
      </c>
      <c r="E305" s="2" t="s">
        <v>37</v>
      </c>
      <c r="F305" t="s">
        <v>21</v>
      </c>
      <c r="G305" s="2">
        <v>2</v>
      </c>
      <c r="H305" s="3">
        <f t="shared" si="28"/>
        <v>359000</v>
      </c>
      <c r="I305" s="4">
        <f t="shared" si="30"/>
        <v>28720</v>
      </c>
      <c r="J305" s="4">
        <f t="shared" si="31"/>
        <v>10770</v>
      </c>
      <c r="K305" s="4">
        <v>17116</v>
      </c>
      <c r="L305" s="4">
        <f t="shared" si="32"/>
        <v>831212</v>
      </c>
      <c r="M305" s="4">
        <f t="shared" si="29"/>
        <v>664969.60000000009</v>
      </c>
      <c r="N305" s="5">
        <f t="shared" si="33"/>
        <v>166242.39999999991</v>
      </c>
    </row>
    <row r="306" spans="1:14" x14ac:dyDescent="0.35">
      <c r="A306" t="s">
        <v>342</v>
      </c>
      <c r="B306" s="7">
        <v>45312</v>
      </c>
      <c r="C306" s="2" t="s">
        <v>14</v>
      </c>
      <c r="D306" s="2" t="s">
        <v>22</v>
      </c>
      <c r="E306" s="2" t="s">
        <v>23</v>
      </c>
      <c r="F306" t="s">
        <v>19</v>
      </c>
      <c r="G306" s="2">
        <v>5</v>
      </c>
      <c r="H306" s="3">
        <f t="shared" si="28"/>
        <v>319000</v>
      </c>
      <c r="I306" s="4">
        <f t="shared" si="30"/>
        <v>25520</v>
      </c>
      <c r="J306" s="4">
        <f t="shared" si="31"/>
        <v>9570</v>
      </c>
      <c r="K306" s="4">
        <v>20245</v>
      </c>
      <c r="L306" s="4">
        <f t="shared" si="32"/>
        <v>1871675</v>
      </c>
      <c r="M306" s="4">
        <f t="shared" si="29"/>
        <v>1497340</v>
      </c>
      <c r="N306" s="5">
        <f t="shared" si="33"/>
        <v>374335</v>
      </c>
    </row>
    <row r="307" spans="1:14" x14ac:dyDescent="0.35">
      <c r="A307" t="s">
        <v>343</v>
      </c>
      <c r="B307" s="7">
        <v>45304</v>
      </c>
      <c r="C307" s="2" t="s">
        <v>14</v>
      </c>
      <c r="D307" s="2" t="s">
        <v>24</v>
      </c>
      <c r="E307" s="2" t="s">
        <v>25</v>
      </c>
      <c r="F307" t="s">
        <v>20</v>
      </c>
      <c r="G307" s="2">
        <v>2</v>
      </c>
      <c r="H307" s="3">
        <f t="shared" si="28"/>
        <v>345000</v>
      </c>
      <c r="I307" s="4">
        <f t="shared" si="30"/>
        <v>27600</v>
      </c>
      <c r="J307" s="4">
        <f t="shared" si="31"/>
        <v>10350</v>
      </c>
      <c r="K307" s="4">
        <v>16896</v>
      </c>
      <c r="L307" s="4">
        <f t="shared" si="32"/>
        <v>799692</v>
      </c>
      <c r="M307" s="4">
        <f t="shared" si="29"/>
        <v>639753.60000000009</v>
      </c>
      <c r="N307" s="5">
        <f t="shared" si="33"/>
        <v>159938.39999999991</v>
      </c>
    </row>
    <row r="308" spans="1:14" x14ac:dyDescent="0.35">
      <c r="A308" t="s">
        <v>344</v>
      </c>
      <c r="B308" s="7">
        <v>45311</v>
      </c>
      <c r="C308" s="2" t="s">
        <v>15</v>
      </c>
      <c r="D308" s="2" t="s">
        <v>26</v>
      </c>
      <c r="E308" s="2" t="s">
        <v>27</v>
      </c>
      <c r="F308" t="s">
        <v>21</v>
      </c>
      <c r="G308" s="2">
        <v>5</v>
      </c>
      <c r="H308" s="3">
        <f t="shared" si="28"/>
        <v>359000</v>
      </c>
      <c r="I308" s="4">
        <f t="shared" si="30"/>
        <v>28720</v>
      </c>
      <c r="J308" s="4">
        <f t="shared" si="31"/>
        <v>10770</v>
      </c>
      <c r="K308" s="4">
        <v>21730</v>
      </c>
      <c r="L308" s="4">
        <f t="shared" si="32"/>
        <v>2101100</v>
      </c>
      <c r="M308" s="4">
        <f t="shared" si="29"/>
        <v>1680880</v>
      </c>
      <c r="N308" s="5">
        <f t="shared" si="33"/>
        <v>420220</v>
      </c>
    </row>
    <row r="309" spans="1:14" x14ac:dyDescent="0.35">
      <c r="A309" t="s">
        <v>345</v>
      </c>
      <c r="B309" s="7">
        <v>45305</v>
      </c>
      <c r="C309" s="2" t="s">
        <v>15</v>
      </c>
      <c r="D309" s="2" t="s">
        <v>28</v>
      </c>
      <c r="E309" s="2" t="s">
        <v>29</v>
      </c>
      <c r="F309" t="s">
        <v>20</v>
      </c>
      <c r="G309" s="2">
        <v>2</v>
      </c>
      <c r="H309" s="3">
        <f t="shared" si="28"/>
        <v>345000</v>
      </c>
      <c r="I309" s="4">
        <f t="shared" si="30"/>
        <v>27600</v>
      </c>
      <c r="J309" s="4">
        <f t="shared" si="31"/>
        <v>10350</v>
      </c>
      <c r="K309" s="4">
        <v>8638</v>
      </c>
      <c r="L309" s="4">
        <f t="shared" si="32"/>
        <v>783176</v>
      </c>
      <c r="M309" s="4">
        <f t="shared" si="29"/>
        <v>626540.80000000005</v>
      </c>
      <c r="N309" s="5">
        <f t="shared" si="33"/>
        <v>156635.19999999995</v>
      </c>
    </row>
    <row r="310" spans="1:14" x14ac:dyDescent="0.35">
      <c r="A310" t="s">
        <v>346</v>
      </c>
      <c r="B310" s="7">
        <v>45492</v>
      </c>
      <c r="C310" s="2" t="s">
        <v>16</v>
      </c>
      <c r="D310" s="2" t="s">
        <v>30</v>
      </c>
      <c r="E310" s="2" t="s">
        <v>31</v>
      </c>
      <c r="F310" t="s">
        <v>21</v>
      </c>
      <c r="G310" s="2">
        <v>3</v>
      </c>
      <c r="H310" s="3">
        <f t="shared" si="28"/>
        <v>359000</v>
      </c>
      <c r="I310" s="4">
        <f t="shared" si="30"/>
        <v>28720</v>
      </c>
      <c r="J310" s="4">
        <f t="shared" si="31"/>
        <v>10770</v>
      </c>
      <c r="K310" s="4">
        <v>8071</v>
      </c>
      <c r="L310" s="4">
        <f t="shared" si="32"/>
        <v>1219683</v>
      </c>
      <c r="M310" s="4">
        <f t="shared" si="29"/>
        <v>975746.4</v>
      </c>
      <c r="N310" s="5">
        <f t="shared" si="33"/>
        <v>243936.59999999998</v>
      </c>
    </row>
    <row r="311" spans="1:14" x14ac:dyDescent="0.35">
      <c r="A311" t="s">
        <v>347</v>
      </c>
      <c r="B311" s="7">
        <v>45327</v>
      </c>
      <c r="C311" s="2" t="s">
        <v>16</v>
      </c>
      <c r="D311" s="2" t="s">
        <v>32</v>
      </c>
      <c r="E311" s="2" t="s">
        <v>33</v>
      </c>
      <c r="F311" t="s">
        <v>19</v>
      </c>
      <c r="G311" s="2">
        <v>4</v>
      </c>
      <c r="H311" s="3">
        <f t="shared" si="28"/>
        <v>319000</v>
      </c>
      <c r="I311" s="4">
        <f t="shared" si="30"/>
        <v>25520</v>
      </c>
      <c r="J311" s="4">
        <f t="shared" si="31"/>
        <v>9570</v>
      </c>
      <c r="K311" s="4">
        <v>7349</v>
      </c>
      <c r="L311" s="4">
        <f t="shared" si="32"/>
        <v>1445756</v>
      </c>
      <c r="M311" s="4">
        <f t="shared" si="29"/>
        <v>1156604.8</v>
      </c>
      <c r="N311" s="5">
        <f t="shared" si="33"/>
        <v>289151.19999999995</v>
      </c>
    </row>
    <row r="312" spans="1:14" x14ac:dyDescent="0.35">
      <c r="A312" t="s">
        <v>348</v>
      </c>
      <c r="B312" s="7">
        <v>45297</v>
      </c>
      <c r="C312" s="2" t="s">
        <v>17</v>
      </c>
      <c r="D312" s="2" t="s">
        <v>34</v>
      </c>
      <c r="E312" s="2" t="s">
        <v>35</v>
      </c>
      <c r="F312" t="s">
        <v>21</v>
      </c>
      <c r="G312" s="2">
        <v>4</v>
      </c>
      <c r="H312" s="3">
        <f t="shared" si="28"/>
        <v>359000</v>
      </c>
      <c r="I312" s="4">
        <f t="shared" si="30"/>
        <v>28720</v>
      </c>
      <c r="J312" s="4">
        <f t="shared" si="31"/>
        <v>10770</v>
      </c>
      <c r="K312" s="4">
        <v>17779</v>
      </c>
      <c r="L312" s="4">
        <f t="shared" si="32"/>
        <v>1665076</v>
      </c>
      <c r="M312" s="4">
        <f t="shared" si="29"/>
        <v>1332060.8</v>
      </c>
      <c r="N312" s="5">
        <f t="shared" si="33"/>
        <v>333015.19999999995</v>
      </c>
    </row>
    <row r="313" spans="1:14" x14ac:dyDescent="0.35">
      <c r="A313" t="s">
        <v>349</v>
      </c>
      <c r="B313" s="7">
        <v>45579</v>
      </c>
      <c r="C313" s="2" t="s">
        <v>18</v>
      </c>
      <c r="D313" s="2" t="s">
        <v>36</v>
      </c>
      <c r="E313" s="2" t="s">
        <v>37</v>
      </c>
      <c r="F313" t="s">
        <v>21</v>
      </c>
      <c r="G313" s="2">
        <v>3</v>
      </c>
      <c r="H313" s="3">
        <f t="shared" si="28"/>
        <v>359000</v>
      </c>
      <c r="I313" s="4">
        <f t="shared" si="30"/>
        <v>28720</v>
      </c>
      <c r="J313" s="4">
        <f t="shared" si="31"/>
        <v>10770</v>
      </c>
      <c r="K313" s="4">
        <v>16971</v>
      </c>
      <c r="L313" s="4">
        <f t="shared" si="32"/>
        <v>1246383</v>
      </c>
      <c r="M313" s="4">
        <f t="shared" si="29"/>
        <v>997106.4</v>
      </c>
      <c r="N313" s="5">
        <f t="shared" si="33"/>
        <v>249276.59999999998</v>
      </c>
    </row>
    <row r="314" spans="1:14" x14ac:dyDescent="0.35">
      <c r="A314" t="s">
        <v>350</v>
      </c>
      <c r="B314" s="7">
        <v>45400</v>
      </c>
      <c r="C314" s="2" t="s">
        <v>14</v>
      </c>
      <c r="D314" s="2" t="s">
        <v>22</v>
      </c>
      <c r="E314" s="2" t="s">
        <v>23</v>
      </c>
      <c r="F314" t="s">
        <v>19</v>
      </c>
      <c r="G314" s="2">
        <v>2</v>
      </c>
      <c r="H314" s="3">
        <f t="shared" si="28"/>
        <v>319000</v>
      </c>
      <c r="I314" s="4">
        <f t="shared" si="30"/>
        <v>25520</v>
      </c>
      <c r="J314" s="4">
        <f t="shared" si="31"/>
        <v>9570</v>
      </c>
      <c r="K314" s="4">
        <v>5983</v>
      </c>
      <c r="L314" s="4">
        <f t="shared" si="32"/>
        <v>720146</v>
      </c>
      <c r="M314" s="4">
        <f t="shared" si="29"/>
        <v>576116.80000000005</v>
      </c>
      <c r="N314" s="5">
        <f t="shared" si="33"/>
        <v>144029.19999999995</v>
      </c>
    </row>
    <row r="315" spans="1:14" x14ac:dyDescent="0.35">
      <c r="A315" t="s">
        <v>351</v>
      </c>
      <c r="B315" s="7">
        <v>45463</v>
      </c>
      <c r="C315" s="2" t="s">
        <v>14</v>
      </c>
      <c r="D315" s="2" t="s">
        <v>24</v>
      </c>
      <c r="E315" s="2" t="s">
        <v>25</v>
      </c>
      <c r="F315" t="s">
        <v>20</v>
      </c>
      <c r="G315" s="2">
        <v>2</v>
      </c>
      <c r="H315" s="3">
        <f t="shared" si="28"/>
        <v>345000</v>
      </c>
      <c r="I315" s="4">
        <f t="shared" si="30"/>
        <v>27600</v>
      </c>
      <c r="J315" s="4">
        <f t="shared" si="31"/>
        <v>10350</v>
      </c>
      <c r="K315" s="4">
        <v>17368</v>
      </c>
      <c r="L315" s="4">
        <f t="shared" si="32"/>
        <v>800636</v>
      </c>
      <c r="M315" s="4">
        <f t="shared" si="29"/>
        <v>640508.80000000005</v>
      </c>
      <c r="N315" s="5">
        <f t="shared" si="33"/>
        <v>160127.19999999995</v>
      </c>
    </row>
    <row r="316" spans="1:14" x14ac:dyDescent="0.35">
      <c r="A316" t="s">
        <v>352</v>
      </c>
      <c r="B316" s="7">
        <v>45527</v>
      </c>
      <c r="C316" s="2" t="s">
        <v>15</v>
      </c>
      <c r="D316" s="2" t="s">
        <v>26</v>
      </c>
      <c r="E316" s="2" t="s">
        <v>27</v>
      </c>
      <c r="F316" t="s">
        <v>21</v>
      </c>
      <c r="G316" s="2">
        <v>4</v>
      </c>
      <c r="H316" s="3">
        <f t="shared" si="28"/>
        <v>359000</v>
      </c>
      <c r="I316" s="4">
        <f t="shared" si="30"/>
        <v>28720</v>
      </c>
      <c r="J316" s="4">
        <f t="shared" si="31"/>
        <v>10770</v>
      </c>
      <c r="K316" s="4">
        <v>9121</v>
      </c>
      <c r="L316" s="4">
        <f t="shared" si="32"/>
        <v>1630444</v>
      </c>
      <c r="M316" s="4">
        <f t="shared" si="29"/>
        <v>1304355.2000000002</v>
      </c>
      <c r="N316" s="5">
        <f t="shared" si="33"/>
        <v>326088.79999999981</v>
      </c>
    </row>
    <row r="317" spans="1:14" x14ac:dyDescent="0.35">
      <c r="A317" t="s">
        <v>353</v>
      </c>
      <c r="B317" s="7">
        <v>45341</v>
      </c>
      <c r="C317" s="2" t="s">
        <v>15</v>
      </c>
      <c r="D317" s="2" t="s">
        <v>28</v>
      </c>
      <c r="E317" s="2" t="s">
        <v>29</v>
      </c>
      <c r="F317" t="s">
        <v>20</v>
      </c>
      <c r="G317" s="2">
        <v>1</v>
      </c>
      <c r="H317" s="3">
        <f t="shared" si="28"/>
        <v>345000</v>
      </c>
      <c r="I317" s="4">
        <f t="shared" si="30"/>
        <v>27600</v>
      </c>
      <c r="J317" s="4">
        <f t="shared" si="31"/>
        <v>10350</v>
      </c>
      <c r="K317" s="4">
        <v>6944</v>
      </c>
      <c r="L317" s="4">
        <f t="shared" si="32"/>
        <v>389894</v>
      </c>
      <c r="M317" s="4">
        <f t="shared" si="29"/>
        <v>311915.2</v>
      </c>
      <c r="N317" s="5">
        <f t="shared" si="33"/>
        <v>77978.799999999988</v>
      </c>
    </row>
    <row r="318" spans="1:14" x14ac:dyDescent="0.35">
      <c r="A318" t="s">
        <v>354</v>
      </c>
      <c r="B318" s="7">
        <v>45306</v>
      </c>
      <c r="C318" s="2" t="s">
        <v>16</v>
      </c>
      <c r="D318" s="2" t="s">
        <v>30</v>
      </c>
      <c r="E318" s="2" t="s">
        <v>31</v>
      </c>
      <c r="F318" t="s">
        <v>21</v>
      </c>
      <c r="G318" s="2">
        <v>5</v>
      </c>
      <c r="H318" s="3">
        <f t="shared" si="28"/>
        <v>359000</v>
      </c>
      <c r="I318" s="4">
        <f t="shared" si="30"/>
        <v>28720</v>
      </c>
      <c r="J318" s="4">
        <f t="shared" si="31"/>
        <v>10770</v>
      </c>
      <c r="K318" s="4">
        <v>23212</v>
      </c>
      <c r="L318" s="4">
        <f t="shared" si="32"/>
        <v>2108510</v>
      </c>
      <c r="M318" s="4">
        <f t="shared" si="29"/>
        <v>1686808</v>
      </c>
      <c r="N318" s="5">
        <f t="shared" si="33"/>
        <v>421702</v>
      </c>
    </row>
    <row r="319" spans="1:14" x14ac:dyDescent="0.35">
      <c r="A319" t="s">
        <v>355</v>
      </c>
      <c r="B319" s="7">
        <v>45627</v>
      </c>
      <c r="C319" s="2" t="s">
        <v>16</v>
      </c>
      <c r="D319" s="2" t="s">
        <v>32</v>
      </c>
      <c r="E319" s="2" t="s">
        <v>33</v>
      </c>
      <c r="F319" t="s">
        <v>19</v>
      </c>
      <c r="G319" s="2">
        <v>1</v>
      </c>
      <c r="H319" s="3">
        <f t="shared" si="28"/>
        <v>319000</v>
      </c>
      <c r="I319" s="4">
        <f t="shared" si="30"/>
        <v>25520</v>
      </c>
      <c r="J319" s="4">
        <f t="shared" si="31"/>
        <v>9570</v>
      </c>
      <c r="K319" s="4">
        <v>21693</v>
      </c>
      <c r="L319" s="4">
        <f t="shared" si="32"/>
        <v>375783</v>
      </c>
      <c r="M319" s="4">
        <f t="shared" si="29"/>
        <v>300626.40000000002</v>
      </c>
      <c r="N319" s="5">
        <f t="shared" si="33"/>
        <v>75156.599999999977</v>
      </c>
    </row>
    <row r="320" spans="1:14" x14ac:dyDescent="0.35">
      <c r="A320" t="s">
        <v>356</v>
      </c>
      <c r="B320" s="7">
        <v>45367</v>
      </c>
      <c r="C320" s="2" t="s">
        <v>17</v>
      </c>
      <c r="D320" s="2" t="s">
        <v>34</v>
      </c>
      <c r="E320" s="2" t="s">
        <v>35</v>
      </c>
      <c r="F320" t="s">
        <v>21</v>
      </c>
      <c r="G320" s="2">
        <v>1</v>
      </c>
      <c r="H320" s="3">
        <f t="shared" si="28"/>
        <v>359000</v>
      </c>
      <c r="I320" s="4">
        <f t="shared" si="30"/>
        <v>28720</v>
      </c>
      <c r="J320" s="4">
        <f t="shared" si="31"/>
        <v>10770</v>
      </c>
      <c r="K320" s="4">
        <v>13090</v>
      </c>
      <c r="L320" s="4">
        <f t="shared" si="32"/>
        <v>411580</v>
      </c>
      <c r="M320" s="4">
        <f t="shared" si="29"/>
        <v>329264</v>
      </c>
      <c r="N320" s="5">
        <f t="shared" si="33"/>
        <v>82316</v>
      </c>
    </row>
    <row r="321" spans="1:14" x14ac:dyDescent="0.35">
      <c r="A321" t="s">
        <v>357</v>
      </c>
      <c r="B321" s="7">
        <v>45438</v>
      </c>
      <c r="C321" s="2" t="s">
        <v>18</v>
      </c>
      <c r="D321" s="2" t="s">
        <v>36</v>
      </c>
      <c r="E321" s="2" t="s">
        <v>37</v>
      </c>
      <c r="F321" t="s">
        <v>21</v>
      </c>
      <c r="G321" s="2">
        <v>2</v>
      </c>
      <c r="H321" s="3">
        <f t="shared" si="28"/>
        <v>359000</v>
      </c>
      <c r="I321" s="4">
        <f t="shared" si="30"/>
        <v>28720</v>
      </c>
      <c r="J321" s="4">
        <f t="shared" si="31"/>
        <v>10770</v>
      </c>
      <c r="K321" s="4">
        <v>8919</v>
      </c>
      <c r="L321" s="4">
        <f t="shared" si="32"/>
        <v>814818</v>
      </c>
      <c r="M321" s="4">
        <f t="shared" si="29"/>
        <v>651854.4</v>
      </c>
      <c r="N321" s="5">
        <f t="shared" si="33"/>
        <v>162963.59999999998</v>
      </c>
    </row>
    <row r="322" spans="1:14" x14ac:dyDescent="0.35">
      <c r="A322" t="s">
        <v>358</v>
      </c>
      <c r="B322" s="7">
        <v>45368</v>
      </c>
      <c r="C322" s="2" t="s">
        <v>14</v>
      </c>
      <c r="D322" s="2" t="s">
        <v>22</v>
      </c>
      <c r="E322" s="2" t="s">
        <v>23</v>
      </c>
      <c r="F322" t="s">
        <v>19</v>
      </c>
      <c r="G322" s="2">
        <v>1</v>
      </c>
      <c r="H322" s="3">
        <f t="shared" ref="H322:H385" si="34">IF(TRIM(F322)="Standard",319000,IF(TRIM(F322)="Custom",345000,IF(TRIM(F322)="Chrome",359000,"")))</f>
        <v>319000</v>
      </c>
      <c r="I322" s="4">
        <f t="shared" si="30"/>
        <v>25520</v>
      </c>
      <c r="J322" s="4">
        <f t="shared" si="31"/>
        <v>9570</v>
      </c>
      <c r="K322" s="4">
        <v>18700</v>
      </c>
      <c r="L322" s="4">
        <f t="shared" si="32"/>
        <v>372790</v>
      </c>
      <c r="M322" s="4">
        <f t="shared" si="29"/>
        <v>298232</v>
      </c>
      <c r="N322" s="5">
        <f t="shared" si="33"/>
        <v>74558</v>
      </c>
    </row>
    <row r="323" spans="1:14" x14ac:dyDescent="0.35">
      <c r="A323" t="s">
        <v>359</v>
      </c>
      <c r="B323" s="7">
        <v>45394</v>
      </c>
      <c r="C323" s="2" t="s">
        <v>14</v>
      </c>
      <c r="D323" s="2" t="s">
        <v>24</v>
      </c>
      <c r="E323" s="2" t="s">
        <v>25</v>
      </c>
      <c r="F323" t="s">
        <v>20</v>
      </c>
      <c r="G323" s="2">
        <v>3</v>
      </c>
      <c r="H323" s="3">
        <f t="shared" si="34"/>
        <v>345000</v>
      </c>
      <c r="I323" s="4">
        <f t="shared" si="30"/>
        <v>27600</v>
      </c>
      <c r="J323" s="4">
        <f t="shared" si="31"/>
        <v>10350</v>
      </c>
      <c r="K323" s="4">
        <v>10322</v>
      </c>
      <c r="L323" s="4">
        <f t="shared" si="32"/>
        <v>1179816</v>
      </c>
      <c r="M323" s="4">
        <f t="shared" ref="M323:M386" si="35">L323*0.8</f>
        <v>943852.8</v>
      </c>
      <c r="N323" s="5">
        <f t="shared" si="33"/>
        <v>235963.19999999995</v>
      </c>
    </row>
    <row r="324" spans="1:14" x14ac:dyDescent="0.35">
      <c r="A324" t="s">
        <v>360</v>
      </c>
      <c r="B324" s="7">
        <v>45447</v>
      </c>
      <c r="C324" s="2" t="s">
        <v>15</v>
      </c>
      <c r="D324" s="2" t="s">
        <v>26</v>
      </c>
      <c r="E324" s="2" t="s">
        <v>27</v>
      </c>
      <c r="F324" t="s">
        <v>21</v>
      </c>
      <c r="G324" s="2">
        <v>2</v>
      </c>
      <c r="H324" s="3">
        <f t="shared" si="34"/>
        <v>359000</v>
      </c>
      <c r="I324" s="4">
        <f t="shared" si="30"/>
        <v>28720</v>
      </c>
      <c r="J324" s="4">
        <f t="shared" si="31"/>
        <v>10770</v>
      </c>
      <c r="K324" s="4">
        <v>7472</v>
      </c>
      <c r="L324" s="4">
        <f t="shared" si="32"/>
        <v>811924</v>
      </c>
      <c r="M324" s="4">
        <f t="shared" si="35"/>
        <v>649539.20000000007</v>
      </c>
      <c r="N324" s="5">
        <f t="shared" si="33"/>
        <v>162384.79999999993</v>
      </c>
    </row>
    <row r="325" spans="1:14" x14ac:dyDescent="0.35">
      <c r="A325" t="s">
        <v>361</v>
      </c>
      <c r="B325" s="7">
        <v>45439</v>
      </c>
      <c r="C325" s="2" t="s">
        <v>15</v>
      </c>
      <c r="D325" s="2" t="s">
        <v>28</v>
      </c>
      <c r="E325" s="2" t="s">
        <v>29</v>
      </c>
      <c r="F325" t="s">
        <v>20</v>
      </c>
      <c r="G325" s="2">
        <v>3</v>
      </c>
      <c r="H325" s="3">
        <f t="shared" si="34"/>
        <v>345000</v>
      </c>
      <c r="I325" s="4">
        <f t="shared" si="30"/>
        <v>27600</v>
      </c>
      <c r="J325" s="4">
        <f t="shared" si="31"/>
        <v>10350</v>
      </c>
      <c r="K325" s="4">
        <v>13650</v>
      </c>
      <c r="L325" s="4">
        <f t="shared" si="32"/>
        <v>1189800</v>
      </c>
      <c r="M325" s="4">
        <f t="shared" si="35"/>
        <v>951840</v>
      </c>
      <c r="N325" s="5">
        <f t="shared" si="33"/>
        <v>237960</v>
      </c>
    </row>
    <row r="326" spans="1:14" x14ac:dyDescent="0.35">
      <c r="A326" t="s">
        <v>362</v>
      </c>
      <c r="B326" s="7">
        <v>45306</v>
      </c>
      <c r="C326" s="2" t="s">
        <v>16</v>
      </c>
      <c r="D326" s="2" t="s">
        <v>30</v>
      </c>
      <c r="E326" s="2" t="s">
        <v>31</v>
      </c>
      <c r="F326" t="s">
        <v>21</v>
      </c>
      <c r="G326" s="2">
        <v>4</v>
      </c>
      <c r="H326" s="3">
        <f t="shared" si="34"/>
        <v>359000</v>
      </c>
      <c r="I326" s="4">
        <f t="shared" si="30"/>
        <v>28720</v>
      </c>
      <c r="J326" s="4">
        <f t="shared" si="31"/>
        <v>10770</v>
      </c>
      <c r="K326" s="4">
        <v>18065</v>
      </c>
      <c r="L326" s="4">
        <f t="shared" si="32"/>
        <v>1666220</v>
      </c>
      <c r="M326" s="4">
        <f t="shared" si="35"/>
        <v>1332976</v>
      </c>
      <c r="N326" s="5">
        <f t="shared" si="33"/>
        <v>333244</v>
      </c>
    </row>
    <row r="327" spans="1:14" x14ac:dyDescent="0.35">
      <c r="A327" t="s">
        <v>363</v>
      </c>
      <c r="B327" s="7">
        <v>45599</v>
      </c>
      <c r="C327" s="2" t="s">
        <v>16</v>
      </c>
      <c r="D327" s="2" t="s">
        <v>32</v>
      </c>
      <c r="E327" s="2" t="s">
        <v>33</v>
      </c>
      <c r="F327" t="s">
        <v>19</v>
      </c>
      <c r="G327" s="2">
        <v>5</v>
      </c>
      <c r="H327" s="3">
        <f t="shared" si="34"/>
        <v>319000</v>
      </c>
      <c r="I327" s="4">
        <f t="shared" si="30"/>
        <v>25520</v>
      </c>
      <c r="J327" s="4">
        <f t="shared" si="31"/>
        <v>9570</v>
      </c>
      <c r="K327" s="4">
        <v>20366</v>
      </c>
      <c r="L327" s="4">
        <f t="shared" si="32"/>
        <v>1872280</v>
      </c>
      <c r="M327" s="4">
        <f t="shared" si="35"/>
        <v>1497824</v>
      </c>
      <c r="N327" s="5">
        <f t="shared" si="33"/>
        <v>374456</v>
      </c>
    </row>
    <row r="328" spans="1:14" x14ac:dyDescent="0.35">
      <c r="A328" t="s">
        <v>364</v>
      </c>
      <c r="B328" s="7">
        <v>45347</v>
      </c>
      <c r="C328" s="2" t="s">
        <v>17</v>
      </c>
      <c r="D328" s="2" t="s">
        <v>34</v>
      </c>
      <c r="E328" s="2" t="s">
        <v>35</v>
      </c>
      <c r="F328" t="s">
        <v>21</v>
      </c>
      <c r="G328" s="2">
        <v>5</v>
      </c>
      <c r="H328" s="3">
        <f t="shared" si="34"/>
        <v>359000</v>
      </c>
      <c r="I328" s="4">
        <f t="shared" si="30"/>
        <v>28720</v>
      </c>
      <c r="J328" s="4">
        <f t="shared" si="31"/>
        <v>10770</v>
      </c>
      <c r="K328" s="4">
        <v>13577</v>
      </c>
      <c r="L328" s="4">
        <f t="shared" si="32"/>
        <v>2060335</v>
      </c>
      <c r="M328" s="4">
        <f t="shared" si="35"/>
        <v>1648268</v>
      </c>
      <c r="N328" s="5">
        <f t="shared" si="33"/>
        <v>412067</v>
      </c>
    </row>
    <row r="329" spans="1:14" x14ac:dyDescent="0.35">
      <c r="A329" t="s">
        <v>365</v>
      </c>
      <c r="B329" s="7">
        <v>45487</v>
      </c>
      <c r="C329" s="2" t="s">
        <v>18</v>
      </c>
      <c r="D329" s="2" t="s">
        <v>36</v>
      </c>
      <c r="E329" s="2" t="s">
        <v>37</v>
      </c>
      <c r="F329" t="s">
        <v>21</v>
      </c>
      <c r="G329" s="2">
        <v>2</v>
      </c>
      <c r="H329" s="3">
        <f t="shared" si="34"/>
        <v>359000</v>
      </c>
      <c r="I329" s="4">
        <f t="shared" si="30"/>
        <v>28720</v>
      </c>
      <c r="J329" s="4">
        <f t="shared" si="31"/>
        <v>10770</v>
      </c>
      <c r="K329" s="4">
        <v>9599</v>
      </c>
      <c r="L329" s="4">
        <f t="shared" si="32"/>
        <v>816178</v>
      </c>
      <c r="M329" s="4">
        <f t="shared" si="35"/>
        <v>652942.4</v>
      </c>
      <c r="N329" s="5">
        <f t="shared" si="33"/>
        <v>163235.59999999998</v>
      </c>
    </row>
    <row r="330" spans="1:14" x14ac:dyDescent="0.35">
      <c r="A330" t="s">
        <v>366</v>
      </c>
      <c r="B330" s="7">
        <v>45489</v>
      </c>
      <c r="C330" s="2" t="s">
        <v>14</v>
      </c>
      <c r="D330" s="2" t="s">
        <v>22</v>
      </c>
      <c r="E330" s="2" t="s">
        <v>23</v>
      </c>
      <c r="F330" t="s">
        <v>19</v>
      </c>
      <c r="G330" s="2">
        <v>2</v>
      </c>
      <c r="H330" s="3">
        <f t="shared" si="34"/>
        <v>319000</v>
      </c>
      <c r="I330" s="4">
        <f t="shared" ref="I330:I393" si="36">H330*0.08</f>
        <v>25520</v>
      </c>
      <c r="J330" s="4">
        <f t="shared" ref="J330:J393" si="37">H330*0.03</f>
        <v>9570</v>
      </c>
      <c r="K330" s="4">
        <v>20339</v>
      </c>
      <c r="L330" s="4">
        <f t="shared" ref="L330:L393" si="38">G330*(H330+I330+J330+K330)</f>
        <v>748858</v>
      </c>
      <c r="M330" s="4">
        <f t="shared" si="35"/>
        <v>599086.4</v>
      </c>
      <c r="N330" s="5">
        <f t="shared" ref="N330:N393" si="39">L330-M330</f>
        <v>149771.59999999998</v>
      </c>
    </row>
    <row r="331" spans="1:14" x14ac:dyDescent="0.35">
      <c r="A331" t="s">
        <v>367</v>
      </c>
      <c r="B331" s="7">
        <v>45545</v>
      </c>
      <c r="C331" s="2" t="s">
        <v>14</v>
      </c>
      <c r="D331" s="2" t="s">
        <v>24</v>
      </c>
      <c r="E331" s="2" t="s">
        <v>25</v>
      </c>
      <c r="F331" t="s">
        <v>20</v>
      </c>
      <c r="G331" s="2">
        <v>5</v>
      </c>
      <c r="H331" s="3">
        <f t="shared" si="34"/>
        <v>345000</v>
      </c>
      <c r="I331" s="4">
        <f t="shared" si="36"/>
        <v>27600</v>
      </c>
      <c r="J331" s="4">
        <f t="shared" si="37"/>
        <v>10350</v>
      </c>
      <c r="K331" s="4">
        <v>12392</v>
      </c>
      <c r="L331" s="4">
        <f t="shared" si="38"/>
        <v>1976710</v>
      </c>
      <c r="M331" s="4">
        <f t="shared" si="35"/>
        <v>1581368</v>
      </c>
      <c r="N331" s="5">
        <f t="shared" si="39"/>
        <v>395342</v>
      </c>
    </row>
    <row r="332" spans="1:14" x14ac:dyDescent="0.35">
      <c r="A332" t="s">
        <v>368</v>
      </c>
      <c r="B332" s="7">
        <v>45451</v>
      </c>
      <c r="C332" s="2" t="s">
        <v>15</v>
      </c>
      <c r="D332" s="2" t="s">
        <v>26</v>
      </c>
      <c r="E332" s="2" t="s">
        <v>27</v>
      </c>
      <c r="F332" t="s">
        <v>21</v>
      </c>
      <c r="G332" s="2">
        <v>3</v>
      </c>
      <c r="H332" s="3">
        <f t="shared" si="34"/>
        <v>359000</v>
      </c>
      <c r="I332" s="4">
        <f t="shared" si="36"/>
        <v>28720</v>
      </c>
      <c r="J332" s="4">
        <f t="shared" si="37"/>
        <v>10770</v>
      </c>
      <c r="K332" s="4">
        <v>16148</v>
      </c>
      <c r="L332" s="4">
        <f t="shared" si="38"/>
        <v>1243914</v>
      </c>
      <c r="M332" s="4">
        <f t="shared" si="35"/>
        <v>995131.20000000007</v>
      </c>
      <c r="N332" s="5">
        <f t="shared" si="39"/>
        <v>248782.79999999993</v>
      </c>
    </row>
    <row r="333" spans="1:14" x14ac:dyDescent="0.35">
      <c r="A333" t="s">
        <v>369</v>
      </c>
      <c r="B333" s="7">
        <v>45568</v>
      </c>
      <c r="C333" s="2" t="s">
        <v>15</v>
      </c>
      <c r="D333" s="2" t="s">
        <v>28</v>
      </c>
      <c r="E333" s="2" t="s">
        <v>29</v>
      </c>
      <c r="F333" t="s">
        <v>20</v>
      </c>
      <c r="G333" s="2">
        <v>5</v>
      </c>
      <c r="H333" s="3">
        <f t="shared" si="34"/>
        <v>345000</v>
      </c>
      <c r="I333" s="4">
        <f t="shared" si="36"/>
        <v>27600</v>
      </c>
      <c r="J333" s="4">
        <f t="shared" si="37"/>
        <v>10350</v>
      </c>
      <c r="K333" s="4">
        <v>10859</v>
      </c>
      <c r="L333" s="4">
        <f t="shared" si="38"/>
        <v>1969045</v>
      </c>
      <c r="M333" s="4">
        <f t="shared" si="35"/>
        <v>1575236</v>
      </c>
      <c r="N333" s="5">
        <f t="shared" si="39"/>
        <v>393809</v>
      </c>
    </row>
    <row r="334" spans="1:14" x14ac:dyDescent="0.35">
      <c r="A334" t="s">
        <v>370</v>
      </c>
      <c r="B334" s="7">
        <v>45580</v>
      </c>
      <c r="C334" s="2" t="s">
        <v>16</v>
      </c>
      <c r="D334" s="2" t="s">
        <v>30</v>
      </c>
      <c r="E334" s="2" t="s">
        <v>31</v>
      </c>
      <c r="F334" t="s">
        <v>21</v>
      </c>
      <c r="G334" s="2">
        <v>3</v>
      </c>
      <c r="H334" s="3">
        <f t="shared" si="34"/>
        <v>359000</v>
      </c>
      <c r="I334" s="4">
        <f t="shared" si="36"/>
        <v>28720</v>
      </c>
      <c r="J334" s="4">
        <f t="shared" si="37"/>
        <v>10770</v>
      </c>
      <c r="K334" s="4">
        <v>23456</v>
      </c>
      <c r="L334" s="4">
        <f t="shared" si="38"/>
        <v>1265838</v>
      </c>
      <c r="M334" s="4">
        <f t="shared" si="35"/>
        <v>1012670.4</v>
      </c>
      <c r="N334" s="5">
        <f t="shared" si="39"/>
        <v>253167.59999999998</v>
      </c>
    </row>
    <row r="335" spans="1:14" x14ac:dyDescent="0.35">
      <c r="A335" t="s">
        <v>371</v>
      </c>
      <c r="B335" s="7">
        <v>45319</v>
      </c>
      <c r="C335" s="2" t="s">
        <v>16</v>
      </c>
      <c r="D335" s="2" t="s">
        <v>32</v>
      </c>
      <c r="E335" s="2" t="s">
        <v>33</v>
      </c>
      <c r="F335" t="s">
        <v>19</v>
      </c>
      <c r="G335" s="2">
        <v>3</v>
      </c>
      <c r="H335" s="3">
        <f t="shared" si="34"/>
        <v>319000</v>
      </c>
      <c r="I335" s="4">
        <f t="shared" si="36"/>
        <v>25520</v>
      </c>
      <c r="J335" s="4">
        <f t="shared" si="37"/>
        <v>9570</v>
      </c>
      <c r="K335" s="4">
        <v>7997</v>
      </c>
      <c r="L335" s="4">
        <f t="shared" si="38"/>
        <v>1086261</v>
      </c>
      <c r="M335" s="4">
        <f t="shared" si="35"/>
        <v>869008.8</v>
      </c>
      <c r="N335" s="5">
        <f t="shared" si="39"/>
        <v>217252.19999999995</v>
      </c>
    </row>
    <row r="336" spans="1:14" x14ac:dyDescent="0.35">
      <c r="A336" t="s">
        <v>372</v>
      </c>
      <c r="B336" s="7">
        <v>45509</v>
      </c>
      <c r="C336" s="2" t="s">
        <v>17</v>
      </c>
      <c r="D336" s="2" t="s">
        <v>34</v>
      </c>
      <c r="E336" s="2" t="s">
        <v>35</v>
      </c>
      <c r="F336" t="s">
        <v>21</v>
      </c>
      <c r="G336" s="2">
        <v>2</v>
      </c>
      <c r="H336" s="3">
        <f t="shared" si="34"/>
        <v>359000</v>
      </c>
      <c r="I336" s="4">
        <f t="shared" si="36"/>
        <v>28720</v>
      </c>
      <c r="J336" s="4">
        <f t="shared" si="37"/>
        <v>10770</v>
      </c>
      <c r="K336" s="4">
        <v>13898</v>
      </c>
      <c r="L336" s="4">
        <f t="shared" si="38"/>
        <v>824776</v>
      </c>
      <c r="M336" s="4">
        <f t="shared" si="35"/>
        <v>659820.80000000005</v>
      </c>
      <c r="N336" s="5">
        <f t="shared" si="39"/>
        <v>164955.19999999995</v>
      </c>
    </row>
    <row r="337" spans="1:14" x14ac:dyDescent="0.35">
      <c r="A337" t="s">
        <v>373</v>
      </c>
      <c r="B337" s="7">
        <v>45403</v>
      </c>
      <c r="C337" s="2" t="s">
        <v>18</v>
      </c>
      <c r="D337" s="2" t="s">
        <v>36</v>
      </c>
      <c r="E337" s="2" t="s">
        <v>37</v>
      </c>
      <c r="F337" t="s">
        <v>21</v>
      </c>
      <c r="G337" s="2">
        <v>5</v>
      </c>
      <c r="H337" s="3">
        <f t="shared" si="34"/>
        <v>359000</v>
      </c>
      <c r="I337" s="4">
        <f t="shared" si="36"/>
        <v>28720</v>
      </c>
      <c r="J337" s="4">
        <f t="shared" si="37"/>
        <v>10770</v>
      </c>
      <c r="K337" s="4">
        <v>21696</v>
      </c>
      <c r="L337" s="4">
        <f t="shared" si="38"/>
        <v>2100930</v>
      </c>
      <c r="M337" s="4">
        <f t="shared" si="35"/>
        <v>1680744</v>
      </c>
      <c r="N337" s="5">
        <f t="shared" si="39"/>
        <v>420186</v>
      </c>
    </row>
    <row r="338" spans="1:14" x14ac:dyDescent="0.35">
      <c r="A338" t="s">
        <v>374</v>
      </c>
      <c r="B338" s="7">
        <v>45377</v>
      </c>
      <c r="C338" s="2" t="s">
        <v>14</v>
      </c>
      <c r="D338" s="2" t="s">
        <v>22</v>
      </c>
      <c r="E338" s="2" t="s">
        <v>23</v>
      </c>
      <c r="F338" t="s">
        <v>19</v>
      </c>
      <c r="G338" s="2">
        <v>5</v>
      </c>
      <c r="H338" s="3">
        <f t="shared" si="34"/>
        <v>319000</v>
      </c>
      <c r="I338" s="4">
        <f t="shared" si="36"/>
        <v>25520</v>
      </c>
      <c r="J338" s="4">
        <f t="shared" si="37"/>
        <v>9570</v>
      </c>
      <c r="K338" s="4">
        <v>23636</v>
      </c>
      <c r="L338" s="4">
        <f t="shared" si="38"/>
        <v>1888630</v>
      </c>
      <c r="M338" s="4">
        <f t="shared" si="35"/>
        <v>1510904</v>
      </c>
      <c r="N338" s="5">
        <f t="shared" si="39"/>
        <v>377726</v>
      </c>
    </row>
    <row r="339" spans="1:14" x14ac:dyDescent="0.35">
      <c r="A339" t="s">
        <v>375</v>
      </c>
      <c r="B339" s="7">
        <v>45508</v>
      </c>
      <c r="C339" s="2" t="s">
        <v>14</v>
      </c>
      <c r="D339" s="2" t="s">
        <v>24</v>
      </c>
      <c r="E339" s="2" t="s">
        <v>25</v>
      </c>
      <c r="F339" t="s">
        <v>20</v>
      </c>
      <c r="G339" s="2">
        <v>4</v>
      </c>
      <c r="H339" s="3">
        <f t="shared" si="34"/>
        <v>345000</v>
      </c>
      <c r="I339" s="4">
        <f t="shared" si="36"/>
        <v>27600</v>
      </c>
      <c r="J339" s="4">
        <f t="shared" si="37"/>
        <v>10350</v>
      </c>
      <c r="K339" s="4">
        <v>18480</v>
      </c>
      <c r="L339" s="4">
        <f t="shared" si="38"/>
        <v>1605720</v>
      </c>
      <c r="M339" s="4">
        <f t="shared" si="35"/>
        <v>1284576</v>
      </c>
      <c r="N339" s="5">
        <f t="shared" si="39"/>
        <v>321144</v>
      </c>
    </row>
    <row r="340" spans="1:14" x14ac:dyDescent="0.35">
      <c r="A340" t="s">
        <v>376</v>
      </c>
      <c r="B340" s="7">
        <v>45304</v>
      </c>
      <c r="C340" s="2" t="s">
        <v>15</v>
      </c>
      <c r="D340" s="2" t="s">
        <v>26</v>
      </c>
      <c r="E340" s="2" t="s">
        <v>27</v>
      </c>
      <c r="F340" t="s">
        <v>21</v>
      </c>
      <c r="G340" s="2">
        <v>4</v>
      </c>
      <c r="H340" s="3">
        <f t="shared" si="34"/>
        <v>359000</v>
      </c>
      <c r="I340" s="4">
        <f t="shared" si="36"/>
        <v>28720</v>
      </c>
      <c r="J340" s="4">
        <f t="shared" si="37"/>
        <v>10770</v>
      </c>
      <c r="K340" s="4">
        <v>14984</v>
      </c>
      <c r="L340" s="4">
        <f t="shared" si="38"/>
        <v>1653896</v>
      </c>
      <c r="M340" s="4">
        <f t="shared" si="35"/>
        <v>1323116.8</v>
      </c>
      <c r="N340" s="5">
        <f t="shared" si="39"/>
        <v>330779.19999999995</v>
      </c>
    </row>
    <row r="341" spans="1:14" x14ac:dyDescent="0.35">
      <c r="A341" t="s">
        <v>377</v>
      </c>
      <c r="B341" s="7">
        <v>45645</v>
      </c>
      <c r="C341" s="2" t="s">
        <v>15</v>
      </c>
      <c r="D341" s="2" t="s">
        <v>28</v>
      </c>
      <c r="E341" s="2" t="s">
        <v>29</v>
      </c>
      <c r="F341" t="s">
        <v>20</v>
      </c>
      <c r="G341" s="2">
        <v>3</v>
      </c>
      <c r="H341" s="3">
        <f t="shared" si="34"/>
        <v>345000</v>
      </c>
      <c r="I341" s="4">
        <f t="shared" si="36"/>
        <v>27600</v>
      </c>
      <c r="J341" s="4">
        <f t="shared" si="37"/>
        <v>10350</v>
      </c>
      <c r="K341" s="4">
        <v>6232</v>
      </c>
      <c r="L341" s="4">
        <f t="shared" si="38"/>
        <v>1167546</v>
      </c>
      <c r="M341" s="4">
        <f t="shared" si="35"/>
        <v>934036.8</v>
      </c>
      <c r="N341" s="5">
        <f t="shared" si="39"/>
        <v>233509.19999999995</v>
      </c>
    </row>
    <row r="342" spans="1:14" x14ac:dyDescent="0.35">
      <c r="A342" t="s">
        <v>378</v>
      </c>
      <c r="B342" s="7">
        <v>45581</v>
      </c>
      <c r="C342" s="2" t="s">
        <v>16</v>
      </c>
      <c r="D342" s="2" t="s">
        <v>30</v>
      </c>
      <c r="E342" s="2" t="s">
        <v>31</v>
      </c>
      <c r="F342" t="s">
        <v>21</v>
      </c>
      <c r="G342" s="2">
        <v>4</v>
      </c>
      <c r="H342" s="3">
        <f t="shared" si="34"/>
        <v>359000</v>
      </c>
      <c r="I342" s="4">
        <f t="shared" si="36"/>
        <v>28720</v>
      </c>
      <c r="J342" s="4">
        <f t="shared" si="37"/>
        <v>10770</v>
      </c>
      <c r="K342" s="4">
        <v>21818</v>
      </c>
      <c r="L342" s="4">
        <f t="shared" si="38"/>
        <v>1681232</v>
      </c>
      <c r="M342" s="4">
        <f t="shared" si="35"/>
        <v>1344985.6</v>
      </c>
      <c r="N342" s="5">
        <f t="shared" si="39"/>
        <v>336246.39999999991</v>
      </c>
    </row>
    <row r="343" spans="1:14" x14ac:dyDescent="0.35">
      <c r="A343" t="s">
        <v>379</v>
      </c>
      <c r="B343" s="7">
        <v>45497</v>
      </c>
      <c r="C343" s="2" t="s">
        <v>16</v>
      </c>
      <c r="D343" s="2" t="s">
        <v>32</v>
      </c>
      <c r="E343" s="2" t="s">
        <v>33</v>
      </c>
      <c r="F343" t="s">
        <v>19</v>
      </c>
      <c r="G343" s="2">
        <v>2</v>
      </c>
      <c r="H343" s="3">
        <f t="shared" si="34"/>
        <v>319000</v>
      </c>
      <c r="I343" s="4">
        <f t="shared" si="36"/>
        <v>25520</v>
      </c>
      <c r="J343" s="4">
        <f t="shared" si="37"/>
        <v>9570</v>
      </c>
      <c r="K343" s="4">
        <v>5735</v>
      </c>
      <c r="L343" s="4">
        <f t="shared" si="38"/>
        <v>719650</v>
      </c>
      <c r="M343" s="4">
        <f t="shared" si="35"/>
        <v>575720</v>
      </c>
      <c r="N343" s="5">
        <f t="shared" si="39"/>
        <v>143930</v>
      </c>
    </row>
    <row r="344" spans="1:14" x14ac:dyDescent="0.35">
      <c r="A344" t="s">
        <v>380</v>
      </c>
      <c r="B344" s="7">
        <v>45639</v>
      </c>
      <c r="C344" s="2" t="s">
        <v>17</v>
      </c>
      <c r="D344" s="2" t="s">
        <v>34</v>
      </c>
      <c r="E344" s="2" t="s">
        <v>35</v>
      </c>
      <c r="F344" t="s">
        <v>21</v>
      </c>
      <c r="G344" s="2">
        <v>2</v>
      </c>
      <c r="H344" s="3">
        <f t="shared" si="34"/>
        <v>359000</v>
      </c>
      <c r="I344" s="4">
        <f t="shared" si="36"/>
        <v>28720</v>
      </c>
      <c r="J344" s="4">
        <f t="shared" si="37"/>
        <v>10770</v>
      </c>
      <c r="K344" s="4">
        <v>10716</v>
      </c>
      <c r="L344" s="4">
        <f t="shared" si="38"/>
        <v>818412</v>
      </c>
      <c r="M344" s="4">
        <f t="shared" si="35"/>
        <v>654729.60000000009</v>
      </c>
      <c r="N344" s="5">
        <f t="shared" si="39"/>
        <v>163682.39999999991</v>
      </c>
    </row>
    <row r="345" spans="1:14" x14ac:dyDescent="0.35">
      <c r="A345" t="s">
        <v>381</v>
      </c>
      <c r="B345" s="7">
        <v>45479</v>
      </c>
      <c r="C345" s="2" t="s">
        <v>18</v>
      </c>
      <c r="D345" s="2" t="s">
        <v>36</v>
      </c>
      <c r="E345" s="2" t="s">
        <v>37</v>
      </c>
      <c r="F345" t="s">
        <v>21</v>
      </c>
      <c r="G345" s="2">
        <v>4</v>
      </c>
      <c r="H345" s="3">
        <f t="shared" si="34"/>
        <v>359000</v>
      </c>
      <c r="I345" s="4">
        <f t="shared" si="36"/>
        <v>28720</v>
      </c>
      <c r="J345" s="4">
        <f t="shared" si="37"/>
        <v>10770</v>
      </c>
      <c r="K345" s="4">
        <v>6978</v>
      </c>
      <c r="L345" s="4">
        <f t="shared" si="38"/>
        <v>1621872</v>
      </c>
      <c r="M345" s="4">
        <f t="shared" si="35"/>
        <v>1297497.6000000001</v>
      </c>
      <c r="N345" s="5">
        <f t="shared" si="39"/>
        <v>324374.39999999991</v>
      </c>
    </row>
    <row r="346" spans="1:14" x14ac:dyDescent="0.35">
      <c r="A346" t="s">
        <v>382</v>
      </c>
      <c r="B346" s="7">
        <v>45581</v>
      </c>
      <c r="C346" s="2" t="s">
        <v>14</v>
      </c>
      <c r="D346" s="2" t="s">
        <v>22</v>
      </c>
      <c r="E346" s="2" t="s">
        <v>23</v>
      </c>
      <c r="F346" t="s">
        <v>19</v>
      </c>
      <c r="G346" s="2">
        <v>4</v>
      </c>
      <c r="H346" s="3">
        <f t="shared" si="34"/>
        <v>319000</v>
      </c>
      <c r="I346" s="4">
        <f t="shared" si="36"/>
        <v>25520</v>
      </c>
      <c r="J346" s="4">
        <f t="shared" si="37"/>
        <v>9570</v>
      </c>
      <c r="K346" s="4">
        <v>10635</v>
      </c>
      <c r="L346" s="4">
        <f t="shared" si="38"/>
        <v>1458900</v>
      </c>
      <c r="M346" s="4">
        <f t="shared" si="35"/>
        <v>1167120</v>
      </c>
      <c r="N346" s="5">
        <f t="shared" si="39"/>
        <v>291780</v>
      </c>
    </row>
    <row r="347" spans="1:14" x14ac:dyDescent="0.35">
      <c r="A347" t="s">
        <v>383</v>
      </c>
      <c r="B347" s="7">
        <v>45314</v>
      </c>
      <c r="C347" s="2" t="s">
        <v>14</v>
      </c>
      <c r="D347" s="2" t="s">
        <v>24</v>
      </c>
      <c r="E347" s="2" t="s">
        <v>25</v>
      </c>
      <c r="F347" t="s">
        <v>20</v>
      </c>
      <c r="G347" s="2">
        <v>2</v>
      </c>
      <c r="H347" s="3">
        <f t="shared" si="34"/>
        <v>345000</v>
      </c>
      <c r="I347" s="4">
        <f t="shared" si="36"/>
        <v>27600</v>
      </c>
      <c r="J347" s="4">
        <f t="shared" si="37"/>
        <v>10350</v>
      </c>
      <c r="K347" s="4">
        <v>16190</v>
      </c>
      <c r="L347" s="4">
        <f t="shared" si="38"/>
        <v>798280</v>
      </c>
      <c r="M347" s="4">
        <f t="shared" si="35"/>
        <v>638624</v>
      </c>
      <c r="N347" s="5">
        <f t="shared" si="39"/>
        <v>159656</v>
      </c>
    </row>
    <row r="348" spans="1:14" x14ac:dyDescent="0.35">
      <c r="A348" t="s">
        <v>384</v>
      </c>
      <c r="B348" s="7">
        <v>45335</v>
      </c>
      <c r="C348" s="2" t="s">
        <v>15</v>
      </c>
      <c r="D348" s="2" t="s">
        <v>26</v>
      </c>
      <c r="E348" s="2" t="s">
        <v>27</v>
      </c>
      <c r="F348" t="s">
        <v>21</v>
      </c>
      <c r="G348" s="2">
        <v>4</v>
      </c>
      <c r="H348" s="3">
        <f t="shared" si="34"/>
        <v>359000</v>
      </c>
      <c r="I348" s="4">
        <f t="shared" si="36"/>
        <v>28720</v>
      </c>
      <c r="J348" s="4">
        <f t="shared" si="37"/>
        <v>10770</v>
      </c>
      <c r="K348" s="4">
        <v>11950</v>
      </c>
      <c r="L348" s="4">
        <f t="shared" si="38"/>
        <v>1641760</v>
      </c>
      <c r="M348" s="4">
        <f t="shared" si="35"/>
        <v>1313408</v>
      </c>
      <c r="N348" s="5">
        <f t="shared" si="39"/>
        <v>328352</v>
      </c>
    </row>
    <row r="349" spans="1:14" x14ac:dyDescent="0.35">
      <c r="A349" t="s">
        <v>385</v>
      </c>
      <c r="B349" s="7">
        <v>45308</v>
      </c>
      <c r="C349" s="2" t="s">
        <v>15</v>
      </c>
      <c r="D349" s="2" t="s">
        <v>28</v>
      </c>
      <c r="E349" s="2" t="s">
        <v>29</v>
      </c>
      <c r="F349" t="s">
        <v>20</v>
      </c>
      <c r="G349" s="2">
        <v>5</v>
      </c>
      <c r="H349" s="3">
        <f t="shared" si="34"/>
        <v>345000</v>
      </c>
      <c r="I349" s="4">
        <f t="shared" si="36"/>
        <v>27600</v>
      </c>
      <c r="J349" s="4">
        <f t="shared" si="37"/>
        <v>10350</v>
      </c>
      <c r="K349" s="4">
        <v>18390</v>
      </c>
      <c r="L349" s="4">
        <f t="shared" si="38"/>
        <v>2006700</v>
      </c>
      <c r="M349" s="4">
        <f t="shared" si="35"/>
        <v>1605360</v>
      </c>
      <c r="N349" s="5">
        <f t="shared" si="39"/>
        <v>401340</v>
      </c>
    </row>
    <row r="350" spans="1:14" x14ac:dyDescent="0.35">
      <c r="A350" t="s">
        <v>386</v>
      </c>
      <c r="B350" s="7">
        <v>45568</v>
      </c>
      <c r="C350" s="2" t="s">
        <v>16</v>
      </c>
      <c r="D350" s="2" t="s">
        <v>30</v>
      </c>
      <c r="E350" s="2" t="s">
        <v>31</v>
      </c>
      <c r="F350" t="s">
        <v>21</v>
      </c>
      <c r="G350" s="2">
        <v>4</v>
      </c>
      <c r="H350" s="3">
        <f t="shared" si="34"/>
        <v>359000</v>
      </c>
      <c r="I350" s="4">
        <f t="shared" si="36"/>
        <v>28720</v>
      </c>
      <c r="J350" s="4">
        <f t="shared" si="37"/>
        <v>10770</v>
      </c>
      <c r="K350" s="4">
        <v>18030</v>
      </c>
      <c r="L350" s="4">
        <f t="shared" si="38"/>
        <v>1666080</v>
      </c>
      <c r="M350" s="4">
        <f t="shared" si="35"/>
        <v>1332864</v>
      </c>
      <c r="N350" s="5">
        <f t="shared" si="39"/>
        <v>333216</v>
      </c>
    </row>
    <row r="351" spans="1:14" x14ac:dyDescent="0.35">
      <c r="A351" t="s">
        <v>387</v>
      </c>
      <c r="B351" s="7">
        <v>45425</v>
      </c>
      <c r="C351" s="2" t="s">
        <v>16</v>
      </c>
      <c r="D351" s="2" t="s">
        <v>32</v>
      </c>
      <c r="E351" s="2" t="s">
        <v>33</v>
      </c>
      <c r="F351" t="s">
        <v>19</v>
      </c>
      <c r="G351" s="2">
        <v>4</v>
      </c>
      <c r="H351" s="3">
        <f t="shared" si="34"/>
        <v>319000</v>
      </c>
      <c r="I351" s="4">
        <f t="shared" si="36"/>
        <v>25520</v>
      </c>
      <c r="J351" s="4">
        <f t="shared" si="37"/>
        <v>9570</v>
      </c>
      <c r="K351" s="4">
        <v>16689</v>
      </c>
      <c r="L351" s="4">
        <f t="shared" si="38"/>
        <v>1483116</v>
      </c>
      <c r="M351" s="4">
        <f t="shared" si="35"/>
        <v>1186492.8</v>
      </c>
      <c r="N351" s="5">
        <f t="shared" si="39"/>
        <v>296623.19999999995</v>
      </c>
    </row>
    <row r="352" spans="1:14" x14ac:dyDescent="0.35">
      <c r="A352" t="s">
        <v>388</v>
      </c>
      <c r="B352" s="7">
        <v>45433</v>
      </c>
      <c r="C352" s="2" t="s">
        <v>17</v>
      </c>
      <c r="D352" s="2" t="s">
        <v>34</v>
      </c>
      <c r="E352" s="2" t="s">
        <v>35</v>
      </c>
      <c r="F352" t="s">
        <v>21</v>
      </c>
      <c r="G352" s="2">
        <v>3</v>
      </c>
      <c r="H352" s="3">
        <f t="shared" si="34"/>
        <v>359000</v>
      </c>
      <c r="I352" s="4">
        <f t="shared" si="36"/>
        <v>28720</v>
      </c>
      <c r="J352" s="4">
        <f t="shared" si="37"/>
        <v>10770</v>
      </c>
      <c r="K352" s="4">
        <v>17647</v>
      </c>
      <c r="L352" s="4">
        <f t="shared" si="38"/>
        <v>1248411</v>
      </c>
      <c r="M352" s="4">
        <f t="shared" si="35"/>
        <v>998728.8</v>
      </c>
      <c r="N352" s="5">
        <f t="shared" si="39"/>
        <v>249682.19999999995</v>
      </c>
    </row>
    <row r="353" spans="1:14" x14ac:dyDescent="0.35">
      <c r="A353" t="s">
        <v>389</v>
      </c>
      <c r="B353" s="7">
        <v>45361</v>
      </c>
      <c r="C353" s="2" t="s">
        <v>18</v>
      </c>
      <c r="D353" s="2" t="s">
        <v>36</v>
      </c>
      <c r="E353" s="2" t="s">
        <v>37</v>
      </c>
      <c r="F353" t="s">
        <v>21</v>
      </c>
      <c r="G353" s="2">
        <v>4</v>
      </c>
      <c r="H353" s="3">
        <f t="shared" si="34"/>
        <v>359000</v>
      </c>
      <c r="I353" s="4">
        <f t="shared" si="36"/>
        <v>28720</v>
      </c>
      <c r="J353" s="4">
        <f t="shared" si="37"/>
        <v>10770</v>
      </c>
      <c r="K353" s="4">
        <v>21240</v>
      </c>
      <c r="L353" s="4">
        <f t="shared" si="38"/>
        <v>1678920</v>
      </c>
      <c r="M353" s="4">
        <f t="shared" si="35"/>
        <v>1343136</v>
      </c>
      <c r="N353" s="5">
        <f t="shared" si="39"/>
        <v>335784</v>
      </c>
    </row>
    <row r="354" spans="1:14" x14ac:dyDescent="0.35">
      <c r="A354" t="s">
        <v>390</v>
      </c>
      <c r="B354" s="7">
        <v>45572</v>
      </c>
      <c r="C354" s="2" t="s">
        <v>14</v>
      </c>
      <c r="D354" s="2" t="s">
        <v>22</v>
      </c>
      <c r="E354" s="2" t="s">
        <v>23</v>
      </c>
      <c r="F354" t="s">
        <v>19</v>
      </c>
      <c r="G354" s="2">
        <v>2</v>
      </c>
      <c r="H354" s="3">
        <f t="shared" si="34"/>
        <v>319000</v>
      </c>
      <c r="I354" s="4">
        <f t="shared" si="36"/>
        <v>25520</v>
      </c>
      <c r="J354" s="4">
        <f t="shared" si="37"/>
        <v>9570</v>
      </c>
      <c r="K354" s="4">
        <v>21565</v>
      </c>
      <c r="L354" s="4">
        <f t="shared" si="38"/>
        <v>751310</v>
      </c>
      <c r="M354" s="4">
        <f t="shared" si="35"/>
        <v>601048</v>
      </c>
      <c r="N354" s="5">
        <f t="shared" si="39"/>
        <v>150262</v>
      </c>
    </row>
    <row r="355" spans="1:14" x14ac:dyDescent="0.35">
      <c r="A355" t="s">
        <v>391</v>
      </c>
      <c r="B355" s="7">
        <v>45431</v>
      </c>
      <c r="C355" s="2" t="s">
        <v>14</v>
      </c>
      <c r="D355" s="2" t="s">
        <v>24</v>
      </c>
      <c r="E355" s="2" t="s">
        <v>25</v>
      </c>
      <c r="F355" t="s">
        <v>20</v>
      </c>
      <c r="G355" s="2">
        <v>4</v>
      </c>
      <c r="H355" s="3">
        <f t="shared" si="34"/>
        <v>345000</v>
      </c>
      <c r="I355" s="4">
        <f t="shared" si="36"/>
        <v>27600</v>
      </c>
      <c r="J355" s="4">
        <f t="shared" si="37"/>
        <v>10350</v>
      </c>
      <c r="K355" s="4">
        <v>24567</v>
      </c>
      <c r="L355" s="4">
        <f t="shared" si="38"/>
        <v>1630068</v>
      </c>
      <c r="M355" s="4">
        <f t="shared" si="35"/>
        <v>1304054.4000000001</v>
      </c>
      <c r="N355" s="5">
        <f t="shared" si="39"/>
        <v>326013.59999999986</v>
      </c>
    </row>
    <row r="356" spans="1:14" x14ac:dyDescent="0.35">
      <c r="A356" t="s">
        <v>392</v>
      </c>
      <c r="B356" s="7">
        <v>45608</v>
      </c>
      <c r="C356" s="2" t="s">
        <v>15</v>
      </c>
      <c r="D356" s="2" t="s">
        <v>26</v>
      </c>
      <c r="E356" s="2" t="s">
        <v>27</v>
      </c>
      <c r="F356" t="s">
        <v>21</v>
      </c>
      <c r="G356" s="2">
        <v>5</v>
      </c>
      <c r="H356" s="3">
        <f t="shared" si="34"/>
        <v>359000</v>
      </c>
      <c r="I356" s="4">
        <f t="shared" si="36"/>
        <v>28720</v>
      </c>
      <c r="J356" s="4">
        <f t="shared" si="37"/>
        <v>10770</v>
      </c>
      <c r="K356" s="4">
        <v>11898</v>
      </c>
      <c r="L356" s="4">
        <f t="shared" si="38"/>
        <v>2051940</v>
      </c>
      <c r="M356" s="4">
        <f t="shared" si="35"/>
        <v>1641552</v>
      </c>
      <c r="N356" s="5">
        <f t="shared" si="39"/>
        <v>410388</v>
      </c>
    </row>
    <row r="357" spans="1:14" x14ac:dyDescent="0.35">
      <c r="A357" t="s">
        <v>393</v>
      </c>
      <c r="B357" s="7">
        <v>45347</v>
      </c>
      <c r="C357" s="2" t="s">
        <v>15</v>
      </c>
      <c r="D357" s="2" t="s">
        <v>28</v>
      </c>
      <c r="E357" s="2" t="s">
        <v>29</v>
      </c>
      <c r="F357" t="s">
        <v>20</v>
      </c>
      <c r="G357" s="2">
        <v>1</v>
      </c>
      <c r="H357" s="3">
        <f t="shared" si="34"/>
        <v>345000</v>
      </c>
      <c r="I357" s="4">
        <f t="shared" si="36"/>
        <v>27600</v>
      </c>
      <c r="J357" s="4">
        <f t="shared" si="37"/>
        <v>10350</v>
      </c>
      <c r="K357" s="4">
        <v>5656</v>
      </c>
      <c r="L357" s="4">
        <f t="shared" si="38"/>
        <v>388606</v>
      </c>
      <c r="M357" s="4">
        <f t="shared" si="35"/>
        <v>310884.8</v>
      </c>
      <c r="N357" s="5">
        <f t="shared" si="39"/>
        <v>77721.200000000012</v>
      </c>
    </row>
    <row r="358" spans="1:14" x14ac:dyDescent="0.35">
      <c r="A358" t="s">
        <v>394</v>
      </c>
      <c r="B358" s="7">
        <v>45642</v>
      </c>
      <c r="C358" s="2" t="s">
        <v>16</v>
      </c>
      <c r="D358" s="2" t="s">
        <v>30</v>
      </c>
      <c r="E358" s="2" t="s">
        <v>31</v>
      </c>
      <c r="F358" t="s">
        <v>21</v>
      </c>
      <c r="G358" s="2">
        <v>2</v>
      </c>
      <c r="H358" s="3">
        <f t="shared" si="34"/>
        <v>359000</v>
      </c>
      <c r="I358" s="4">
        <f t="shared" si="36"/>
        <v>28720</v>
      </c>
      <c r="J358" s="4">
        <f t="shared" si="37"/>
        <v>10770</v>
      </c>
      <c r="K358" s="4">
        <v>21872</v>
      </c>
      <c r="L358" s="4">
        <f t="shared" si="38"/>
        <v>840724</v>
      </c>
      <c r="M358" s="4">
        <f t="shared" si="35"/>
        <v>672579.20000000007</v>
      </c>
      <c r="N358" s="5">
        <f t="shared" si="39"/>
        <v>168144.79999999993</v>
      </c>
    </row>
    <row r="359" spans="1:14" x14ac:dyDescent="0.35">
      <c r="A359" t="s">
        <v>395</v>
      </c>
      <c r="B359" s="7">
        <v>45600</v>
      </c>
      <c r="C359" s="2" t="s">
        <v>16</v>
      </c>
      <c r="D359" s="2" t="s">
        <v>32</v>
      </c>
      <c r="E359" s="2" t="s">
        <v>33</v>
      </c>
      <c r="F359" t="s">
        <v>19</v>
      </c>
      <c r="G359" s="2">
        <v>2</v>
      </c>
      <c r="H359" s="3">
        <f t="shared" si="34"/>
        <v>319000</v>
      </c>
      <c r="I359" s="4">
        <f t="shared" si="36"/>
        <v>25520</v>
      </c>
      <c r="J359" s="4">
        <f t="shared" si="37"/>
        <v>9570</v>
      </c>
      <c r="K359" s="4">
        <v>20333</v>
      </c>
      <c r="L359" s="4">
        <f t="shared" si="38"/>
        <v>748846</v>
      </c>
      <c r="M359" s="4">
        <f t="shared" si="35"/>
        <v>599076.80000000005</v>
      </c>
      <c r="N359" s="5">
        <f t="shared" si="39"/>
        <v>149769.19999999995</v>
      </c>
    </row>
    <row r="360" spans="1:14" x14ac:dyDescent="0.35">
      <c r="A360" t="s">
        <v>396</v>
      </c>
      <c r="B360" s="7">
        <v>45402</v>
      </c>
      <c r="C360" s="2" t="s">
        <v>17</v>
      </c>
      <c r="D360" s="2" t="s">
        <v>34</v>
      </c>
      <c r="E360" s="2" t="s">
        <v>35</v>
      </c>
      <c r="F360" t="s">
        <v>21</v>
      </c>
      <c r="G360" s="2">
        <v>2</v>
      </c>
      <c r="H360" s="3">
        <f t="shared" si="34"/>
        <v>359000</v>
      </c>
      <c r="I360" s="4">
        <f t="shared" si="36"/>
        <v>28720</v>
      </c>
      <c r="J360" s="4">
        <f t="shared" si="37"/>
        <v>10770</v>
      </c>
      <c r="K360" s="4">
        <v>22087</v>
      </c>
      <c r="L360" s="4">
        <f t="shared" si="38"/>
        <v>841154</v>
      </c>
      <c r="M360" s="4">
        <f t="shared" si="35"/>
        <v>672923.20000000007</v>
      </c>
      <c r="N360" s="5">
        <f t="shared" si="39"/>
        <v>168230.79999999993</v>
      </c>
    </row>
    <row r="361" spans="1:14" x14ac:dyDescent="0.35">
      <c r="A361" t="s">
        <v>397</v>
      </c>
      <c r="B361" s="7">
        <v>45366</v>
      </c>
      <c r="C361" s="2" t="s">
        <v>18</v>
      </c>
      <c r="D361" s="2" t="s">
        <v>36</v>
      </c>
      <c r="E361" s="2" t="s">
        <v>37</v>
      </c>
      <c r="F361" t="s">
        <v>21</v>
      </c>
      <c r="G361" s="2">
        <v>3</v>
      </c>
      <c r="H361" s="3">
        <f t="shared" si="34"/>
        <v>359000</v>
      </c>
      <c r="I361" s="4">
        <f t="shared" si="36"/>
        <v>28720</v>
      </c>
      <c r="J361" s="4">
        <f t="shared" si="37"/>
        <v>10770</v>
      </c>
      <c r="K361" s="4">
        <v>18165</v>
      </c>
      <c r="L361" s="4">
        <f t="shared" si="38"/>
        <v>1249965</v>
      </c>
      <c r="M361" s="4">
        <f t="shared" si="35"/>
        <v>999972</v>
      </c>
      <c r="N361" s="5">
        <f t="shared" si="39"/>
        <v>249993</v>
      </c>
    </row>
    <row r="362" spans="1:14" x14ac:dyDescent="0.35">
      <c r="A362" t="s">
        <v>398</v>
      </c>
      <c r="B362" s="7">
        <v>45392</v>
      </c>
      <c r="C362" s="2" t="s">
        <v>14</v>
      </c>
      <c r="D362" s="2" t="s">
        <v>22</v>
      </c>
      <c r="E362" s="2" t="s">
        <v>23</v>
      </c>
      <c r="F362" t="s">
        <v>19</v>
      </c>
      <c r="G362" s="2">
        <v>4</v>
      </c>
      <c r="H362" s="3">
        <f t="shared" si="34"/>
        <v>319000</v>
      </c>
      <c r="I362" s="4">
        <f t="shared" si="36"/>
        <v>25520</v>
      </c>
      <c r="J362" s="4">
        <f t="shared" si="37"/>
        <v>9570</v>
      </c>
      <c r="K362" s="4">
        <v>18704</v>
      </c>
      <c r="L362" s="4">
        <f t="shared" si="38"/>
        <v>1491176</v>
      </c>
      <c r="M362" s="4">
        <f t="shared" si="35"/>
        <v>1192940.8</v>
      </c>
      <c r="N362" s="5">
        <f t="shared" si="39"/>
        <v>298235.19999999995</v>
      </c>
    </row>
    <row r="363" spans="1:14" x14ac:dyDescent="0.35">
      <c r="A363" t="s">
        <v>399</v>
      </c>
      <c r="B363" s="7">
        <v>45614</v>
      </c>
      <c r="C363" s="2" t="s">
        <v>14</v>
      </c>
      <c r="D363" s="2" t="s">
        <v>24</v>
      </c>
      <c r="E363" s="2" t="s">
        <v>25</v>
      </c>
      <c r="F363" t="s">
        <v>20</v>
      </c>
      <c r="G363" s="2">
        <v>4</v>
      </c>
      <c r="H363" s="3">
        <f t="shared" si="34"/>
        <v>345000</v>
      </c>
      <c r="I363" s="4">
        <f t="shared" si="36"/>
        <v>27600</v>
      </c>
      <c r="J363" s="4">
        <f t="shared" si="37"/>
        <v>10350</v>
      </c>
      <c r="K363" s="4">
        <v>19342</v>
      </c>
      <c r="L363" s="4">
        <f t="shared" si="38"/>
        <v>1609168</v>
      </c>
      <c r="M363" s="4">
        <f t="shared" si="35"/>
        <v>1287334.4000000001</v>
      </c>
      <c r="N363" s="5">
        <f t="shared" si="39"/>
        <v>321833.59999999986</v>
      </c>
    </row>
    <row r="364" spans="1:14" x14ac:dyDescent="0.35">
      <c r="A364" t="s">
        <v>400</v>
      </c>
      <c r="B364" s="7">
        <v>45498</v>
      </c>
      <c r="C364" s="2" t="s">
        <v>15</v>
      </c>
      <c r="D364" s="2" t="s">
        <v>26</v>
      </c>
      <c r="E364" s="2" t="s">
        <v>27</v>
      </c>
      <c r="F364" t="s">
        <v>21</v>
      </c>
      <c r="G364" s="2">
        <v>1</v>
      </c>
      <c r="H364" s="3">
        <f t="shared" si="34"/>
        <v>359000</v>
      </c>
      <c r="I364" s="4">
        <f t="shared" si="36"/>
        <v>28720</v>
      </c>
      <c r="J364" s="4">
        <f t="shared" si="37"/>
        <v>10770</v>
      </c>
      <c r="K364" s="4">
        <v>15462</v>
      </c>
      <c r="L364" s="4">
        <f t="shared" si="38"/>
        <v>413952</v>
      </c>
      <c r="M364" s="4">
        <f t="shared" si="35"/>
        <v>331161.60000000003</v>
      </c>
      <c r="N364" s="5">
        <f t="shared" si="39"/>
        <v>82790.399999999965</v>
      </c>
    </row>
    <row r="365" spans="1:14" x14ac:dyDescent="0.35">
      <c r="A365" t="s">
        <v>401</v>
      </c>
      <c r="B365" s="7">
        <v>45514</v>
      </c>
      <c r="C365" s="2" t="s">
        <v>15</v>
      </c>
      <c r="D365" s="2" t="s">
        <v>28</v>
      </c>
      <c r="E365" s="2" t="s">
        <v>29</v>
      </c>
      <c r="F365" t="s">
        <v>20</v>
      </c>
      <c r="G365" s="2">
        <v>3</v>
      </c>
      <c r="H365" s="3">
        <f t="shared" si="34"/>
        <v>345000</v>
      </c>
      <c r="I365" s="4">
        <f t="shared" si="36"/>
        <v>27600</v>
      </c>
      <c r="J365" s="4">
        <f t="shared" si="37"/>
        <v>10350</v>
      </c>
      <c r="K365" s="4">
        <v>12297</v>
      </c>
      <c r="L365" s="4">
        <f t="shared" si="38"/>
        <v>1185741</v>
      </c>
      <c r="M365" s="4">
        <f t="shared" si="35"/>
        <v>948592.8</v>
      </c>
      <c r="N365" s="5">
        <f t="shared" si="39"/>
        <v>237148.19999999995</v>
      </c>
    </row>
    <row r="366" spans="1:14" x14ac:dyDescent="0.35">
      <c r="A366" t="s">
        <v>402</v>
      </c>
      <c r="B366" s="7">
        <v>45537</v>
      </c>
      <c r="C366" s="2" t="s">
        <v>16</v>
      </c>
      <c r="D366" s="2" t="s">
        <v>30</v>
      </c>
      <c r="E366" s="2" t="s">
        <v>31</v>
      </c>
      <c r="F366" t="s">
        <v>21</v>
      </c>
      <c r="G366" s="2">
        <v>1</v>
      </c>
      <c r="H366" s="3">
        <f t="shared" si="34"/>
        <v>359000</v>
      </c>
      <c r="I366" s="4">
        <f t="shared" si="36"/>
        <v>28720</v>
      </c>
      <c r="J366" s="4">
        <f t="shared" si="37"/>
        <v>10770</v>
      </c>
      <c r="K366" s="4">
        <v>5074</v>
      </c>
      <c r="L366" s="4">
        <f t="shared" si="38"/>
        <v>403564</v>
      </c>
      <c r="M366" s="4">
        <f t="shared" si="35"/>
        <v>322851.20000000001</v>
      </c>
      <c r="N366" s="5">
        <f t="shared" si="39"/>
        <v>80712.799999999988</v>
      </c>
    </row>
    <row r="367" spans="1:14" x14ac:dyDescent="0.35">
      <c r="A367" t="s">
        <v>403</v>
      </c>
      <c r="B367" s="7">
        <v>45613</v>
      </c>
      <c r="C367" s="2" t="s">
        <v>16</v>
      </c>
      <c r="D367" s="2" t="s">
        <v>32</v>
      </c>
      <c r="E367" s="2" t="s">
        <v>33</v>
      </c>
      <c r="F367" t="s">
        <v>19</v>
      </c>
      <c r="G367" s="2">
        <v>1</v>
      </c>
      <c r="H367" s="3">
        <f t="shared" si="34"/>
        <v>319000</v>
      </c>
      <c r="I367" s="4">
        <f t="shared" si="36"/>
        <v>25520</v>
      </c>
      <c r="J367" s="4">
        <f t="shared" si="37"/>
        <v>9570</v>
      </c>
      <c r="K367" s="4">
        <v>17213</v>
      </c>
      <c r="L367" s="4">
        <f t="shared" si="38"/>
        <v>371303</v>
      </c>
      <c r="M367" s="4">
        <f t="shared" si="35"/>
        <v>297042.40000000002</v>
      </c>
      <c r="N367" s="5">
        <f t="shared" si="39"/>
        <v>74260.599999999977</v>
      </c>
    </row>
    <row r="368" spans="1:14" x14ac:dyDescent="0.35">
      <c r="A368" t="s">
        <v>404</v>
      </c>
      <c r="B368" s="7">
        <v>45629</v>
      </c>
      <c r="C368" s="2" t="s">
        <v>17</v>
      </c>
      <c r="D368" s="2" t="s">
        <v>34</v>
      </c>
      <c r="E368" s="2" t="s">
        <v>35</v>
      </c>
      <c r="F368" t="s">
        <v>21</v>
      </c>
      <c r="G368" s="2">
        <v>3</v>
      </c>
      <c r="H368" s="3">
        <f t="shared" si="34"/>
        <v>359000</v>
      </c>
      <c r="I368" s="4">
        <f t="shared" si="36"/>
        <v>28720</v>
      </c>
      <c r="J368" s="4">
        <f t="shared" si="37"/>
        <v>10770</v>
      </c>
      <c r="K368" s="4">
        <v>16072</v>
      </c>
      <c r="L368" s="4">
        <f t="shared" si="38"/>
        <v>1243686</v>
      </c>
      <c r="M368" s="4">
        <f t="shared" si="35"/>
        <v>994948.8</v>
      </c>
      <c r="N368" s="5">
        <f t="shared" si="39"/>
        <v>248737.19999999995</v>
      </c>
    </row>
    <row r="369" spans="1:14" x14ac:dyDescent="0.35">
      <c r="A369" t="s">
        <v>405</v>
      </c>
      <c r="B369" s="7">
        <v>45501</v>
      </c>
      <c r="C369" s="2" t="s">
        <v>18</v>
      </c>
      <c r="D369" s="2" t="s">
        <v>36</v>
      </c>
      <c r="E369" s="2" t="s">
        <v>37</v>
      </c>
      <c r="F369" t="s">
        <v>21</v>
      </c>
      <c r="G369" s="2">
        <v>1</v>
      </c>
      <c r="H369" s="3">
        <f t="shared" si="34"/>
        <v>359000</v>
      </c>
      <c r="I369" s="4">
        <f t="shared" si="36"/>
        <v>28720</v>
      </c>
      <c r="J369" s="4">
        <f t="shared" si="37"/>
        <v>10770</v>
      </c>
      <c r="K369" s="4">
        <v>22358</v>
      </c>
      <c r="L369" s="4">
        <f t="shared" si="38"/>
        <v>420848</v>
      </c>
      <c r="M369" s="4">
        <f t="shared" si="35"/>
        <v>336678.40000000002</v>
      </c>
      <c r="N369" s="5">
        <f t="shared" si="39"/>
        <v>84169.599999999977</v>
      </c>
    </row>
    <row r="370" spans="1:14" x14ac:dyDescent="0.35">
      <c r="A370" t="s">
        <v>406</v>
      </c>
      <c r="B370" s="7">
        <v>45554</v>
      </c>
      <c r="C370" s="2" t="s">
        <v>14</v>
      </c>
      <c r="D370" s="2" t="s">
        <v>22</v>
      </c>
      <c r="E370" s="2" t="s">
        <v>23</v>
      </c>
      <c r="F370" t="s">
        <v>19</v>
      </c>
      <c r="G370" s="2">
        <v>1</v>
      </c>
      <c r="H370" s="3">
        <f t="shared" si="34"/>
        <v>319000</v>
      </c>
      <c r="I370" s="4">
        <f t="shared" si="36"/>
        <v>25520</v>
      </c>
      <c r="J370" s="4">
        <f t="shared" si="37"/>
        <v>9570</v>
      </c>
      <c r="K370" s="4">
        <v>5536</v>
      </c>
      <c r="L370" s="4">
        <f t="shared" si="38"/>
        <v>359626</v>
      </c>
      <c r="M370" s="4">
        <f t="shared" si="35"/>
        <v>287700.8</v>
      </c>
      <c r="N370" s="5">
        <f t="shared" si="39"/>
        <v>71925.200000000012</v>
      </c>
    </row>
    <row r="371" spans="1:14" x14ac:dyDescent="0.35">
      <c r="A371" t="s">
        <v>407</v>
      </c>
      <c r="B371" s="7">
        <v>45575</v>
      </c>
      <c r="C371" s="2" t="s">
        <v>14</v>
      </c>
      <c r="D371" s="2" t="s">
        <v>24</v>
      </c>
      <c r="E371" s="2" t="s">
        <v>25</v>
      </c>
      <c r="F371" t="s">
        <v>20</v>
      </c>
      <c r="G371" s="2">
        <v>3</v>
      </c>
      <c r="H371" s="3">
        <f t="shared" si="34"/>
        <v>345000</v>
      </c>
      <c r="I371" s="4">
        <f t="shared" si="36"/>
        <v>27600</v>
      </c>
      <c r="J371" s="4">
        <f t="shared" si="37"/>
        <v>10350</v>
      </c>
      <c r="K371" s="4">
        <v>23863</v>
      </c>
      <c r="L371" s="4">
        <f t="shared" si="38"/>
        <v>1220439</v>
      </c>
      <c r="M371" s="4">
        <f t="shared" si="35"/>
        <v>976351.20000000007</v>
      </c>
      <c r="N371" s="5">
        <f t="shared" si="39"/>
        <v>244087.79999999993</v>
      </c>
    </row>
    <row r="372" spans="1:14" x14ac:dyDescent="0.35">
      <c r="A372" t="s">
        <v>408</v>
      </c>
      <c r="B372" s="7">
        <v>45575</v>
      </c>
      <c r="C372" s="2" t="s">
        <v>15</v>
      </c>
      <c r="D372" s="2" t="s">
        <v>26</v>
      </c>
      <c r="E372" s="2" t="s">
        <v>27</v>
      </c>
      <c r="F372" t="s">
        <v>21</v>
      </c>
      <c r="G372" s="2">
        <v>4</v>
      </c>
      <c r="H372" s="3">
        <f t="shared" si="34"/>
        <v>359000</v>
      </c>
      <c r="I372" s="4">
        <f t="shared" si="36"/>
        <v>28720</v>
      </c>
      <c r="J372" s="4">
        <f t="shared" si="37"/>
        <v>10770</v>
      </c>
      <c r="K372" s="4">
        <v>17318</v>
      </c>
      <c r="L372" s="4">
        <f t="shared" si="38"/>
        <v>1663232</v>
      </c>
      <c r="M372" s="4">
        <f t="shared" si="35"/>
        <v>1330585.6000000001</v>
      </c>
      <c r="N372" s="5">
        <f t="shared" si="39"/>
        <v>332646.39999999991</v>
      </c>
    </row>
    <row r="373" spans="1:14" x14ac:dyDescent="0.35">
      <c r="A373" t="s">
        <v>409</v>
      </c>
      <c r="B373" s="7">
        <v>45470</v>
      </c>
      <c r="C373" s="2" t="s">
        <v>15</v>
      </c>
      <c r="D373" s="2" t="s">
        <v>28</v>
      </c>
      <c r="E373" s="2" t="s">
        <v>29</v>
      </c>
      <c r="F373" t="s">
        <v>20</v>
      </c>
      <c r="G373" s="2">
        <v>5</v>
      </c>
      <c r="H373" s="3">
        <f t="shared" si="34"/>
        <v>345000</v>
      </c>
      <c r="I373" s="4">
        <f t="shared" si="36"/>
        <v>27600</v>
      </c>
      <c r="J373" s="4">
        <f t="shared" si="37"/>
        <v>10350</v>
      </c>
      <c r="K373" s="4">
        <v>19357</v>
      </c>
      <c r="L373" s="4">
        <f t="shared" si="38"/>
        <v>2011535</v>
      </c>
      <c r="M373" s="4">
        <f t="shared" si="35"/>
        <v>1609228</v>
      </c>
      <c r="N373" s="5">
        <f t="shared" si="39"/>
        <v>402307</v>
      </c>
    </row>
    <row r="374" spans="1:14" x14ac:dyDescent="0.35">
      <c r="A374" t="s">
        <v>410</v>
      </c>
      <c r="B374" s="7">
        <v>45574</v>
      </c>
      <c r="C374" s="2" t="s">
        <v>16</v>
      </c>
      <c r="D374" s="2" t="s">
        <v>30</v>
      </c>
      <c r="E374" s="2" t="s">
        <v>31</v>
      </c>
      <c r="F374" t="s">
        <v>21</v>
      </c>
      <c r="G374" s="2">
        <v>5</v>
      </c>
      <c r="H374" s="3">
        <f t="shared" si="34"/>
        <v>359000</v>
      </c>
      <c r="I374" s="4">
        <f t="shared" si="36"/>
        <v>28720</v>
      </c>
      <c r="J374" s="4">
        <f t="shared" si="37"/>
        <v>10770</v>
      </c>
      <c r="K374" s="4">
        <v>11632</v>
      </c>
      <c r="L374" s="4">
        <f t="shared" si="38"/>
        <v>2050610</v>
      </c>
      <c r="M374" s="4">
        <f t="shared" si="35"/>
        <v>1640488</v>
      </c>
      <c r="N374" s="5">
        <f t="shared" si="39"/>
        <v>410122</v>
      </c>
    </row>
    <row r="375" spans="1:14" x14ac:dyDescent="0.35">
      <c r="A375" t="s">
        <v>411</v>
      </c>
      <c r="B375" s="7">
        <v>45634</v>
      </c>
      <c r="C375" s="2" t="s">
        <v>16</v>
      </c>
      <c r="D375" s="2" t="s">
        <v>32</v>
      </c>
      <c r="E375" s="2" t="s">
        <v>33</v>
      </c>
      <c r="F375" t="s">
        <v>19</v>
      </c>
      <c r="G375" s="2">
        <v>1</v>
      </c>
      <c r="H375" s="3">
        <f t="shared" si="34"/>
        <v>319000</v>
      </c>
      <c r="I375" s="4">
        <f t="shared" si="36"/>
        <v>25520</v>
      </c>
      <c r="J375" s="4">
        <f t="shared" si="37"/>
        <v>9570</v>
      </c>
      <c r="K375" s="4">
        <v>5986</v>
      </c>
      <c r="L375" s="4">
        <f t="shared" si="38"/>
        <v>360076</v>
      </c>
      <c r="M375" s="4">
        <f t="shared" si="35"/>
        <v>288060.79999999999</v>
      </c>
      <c r="N375" s="5">
        <f t="shared" si="39"/>
        <v>72015.200000000012</v>
      </c>
    </row>
    <row r="376" spans="1:14" x14ac:dyDescent="0.35">
      <c r="A376" t="s">
        <v>412</v>
      </c>
      <c r="B376" s="7">
        <v>45347</v>
      </c>
      <c r="C376" s="2" t="s">
        <v>17</v>
      </c>
      <c r="D376" s="2" t="s">
        <v>34</v>
      </c>
      <c r="E376" s="2" t="s">
        <v>35</v>
      </c>
      <c r="F376" t="s">
        <v>21</v>
      </c>
      <c r="G376" s="2">
        <v>5</v>
      </c>
      <c r="H376" s="3">
        <f t="shared" si="34"/>
        <v>359000</v>
      </c>
      <c r="I376" s="4">
        <f t="shared" si="36"/>
        <v>28720</v>
      </c>
      <c r="J376" s="4">
        <f t="shared" si="37"/>
        <v>10770</v>
      </c>
      <c r="K376" s="4">
        <v>19065</v>
      </c>
      <c r="L376" s="4">
        <f t="shared" si="38"/>
        <v>2087775</v>
      </c>
      <c r="M376" s="4">
        <f t="shared" si="35"/>
        <v>1670220</v>
      </c>
      <c r="N376" s="5">
        <f t="shared" si="39"/>
        <v>417555</v>
      </c>
    </row>
    <row r="377" spans="1:14" x14ac:dyDescent="0.35">
      <c r="A377" t="s">
        <v>413</v>
      </c>
      <c r="B377" s="7">
        <v>45419</v>
      </c>
      <c r="C377" s="2" t="s">
        <v>18</v>
      </c>
      <c r="D377" s="2" t="s">
        <v>36</v>
      </c>
      <c r="E377" s="2" t="s">
        <v>37</v>
      </c>
      <c r="F377" t="s">
        <v>21</v>
      </c>
      <c r="G377" s="2">
        <v>2</v>
      </c>
      <c r="H377" s="3">
        <f t="shared" si="34"/>
        <v>359000</v>
      </c>
      <c r="I377" s="4">
        <f t="shared" si="36"/>
        <v>28720</v>
      </c>
      <c r="J377" s="4">
        <f t="shared" si="37"/>
        <v>10770</v>
      </c>
      <c r="K377" s="4">
        <v>18869</v>
      </c>
      <c r="L377" s="4">
        <f t="shared" si="38"/>
        <v>834718</v>
      </c>
      <c r="M377" s="4">
        <f t="shared" si="35"/>
        <v>667774.4</v>
      </c>
      <c r="N377" s="5">
        <f t="shared" si="39"/>
        <v>166943.59999999998</v>
      </c>
    </row>
    <row r="378" spans="1:14" x14ac:dyDescent="0.35">
      <c r="A378" t="s">
        <v>414</v>
      </c>
      <c r="B378" s="7">
        <v>45316</v>
      </c>
      <c r="C378" s="2" t="s">
        <v>14</v>
      </c>
      <c r="D378" s="2" t="s">
        <v>22</v>
      </c>
      <c r="E378" s="2" t="s">
        <v>23</v>
      </c>
      <c r="F378" t="s">
        <v>19</v>
      </c>
      <c r="G378" s="2">
        <v>4</v>
      </c>
      <c r="H378" s="3">
        <f t="shared" si="34"/>
        <v>319000</v>
      </c>
      <c r="I378" s="4">
        <f t="shared" si="36"/>
        <v>25520</v>
      </c>
      <c r="J378" s="4">
        <f t="shared" si="37"/>
        <v>9570</v>
      </c>
      <c r="K378" s="4">
        <v>13445</v>
      </c>
      <c r="L378" s="4">
        <f t="shared" si="38"/>
        <v>1470140</v>
      </c>
      <c r="M378" s="4">
        <f t="shared" si="35"/>
        <v>1176112</v>
      </c>
      <c r="N378" s="5">
        <f t="shared" si="39"/>
        <v>294028</v>
      </c>
    </row>
    <row r="379" spans="1:14" x14ac:dyDescent="0.35">
      <c r="A379" t="s">
        <v>415</v>
      </c>
      <c r="B379" s="7">
        <v>45485</v>
      </c>
      <c r="C379" s="2" t="s">
        <v>14</v>
      </c>
      <c r="D379" s="2" t="s">
        <v>24</v>
      </c>
      <c r="E379" s="2" t="s">
        <v>25</v>
      </c>
      <c r="F379" t="s">
        <v>20</v>
      </c>
      <c r="G379" s="2">
        <v>4</v>
      </c>
      <c r="H379" s="3">
        <f t="shared" si="34"/>
        <v>345000</v>
      </c>
      <c r="I379" s="4">
        <f t="shared" si="36"/>
        <v>27600</v>
      </c>
      <c r="J379" s="4">
        <f t="shared" si="37"/>
        <v>10350</v>
      </c>
      <c r="K379" s="4">
        <v>13605</v>
      </c>
      <c r="L379" s="4">
        <f t="shared" si="38"/>
        <v>1586220</v>
      </c>
      <c r="M379" s="4">
        <f t="shared" si="35"/>
        <v>1268976</v>
      </c>
      <c r="N379" s="5">
        <f t="shared" si="39"/>
        <v>317244</v>
      </c>
    </row>
    <row r="380" spans="1:14" x14ac:dyDescent="0.35">
      <c r="A380" t="s">
        <v>416</v>
      </c>
      <c r="B380" s="7">
        <v>45558</v>
      </c>
      <c r="C380" s="2" t="s">
        <v>15</v>
      </c>
      <c r="D380" s="2" t="s">
        <v>26</v>
      </c>
      <c r="E380" s="2" t="s">
        <v>27</v>
      </c>
      <c r="F380" t="s">
        <v>21</v>
      </c>
      <c r="G380" s="2">
        <v>1</v>
      </c>
      <c r="H380" s="3">
        <f t="shared" si="34"/>
        <v>359000</v>
      </c>
      <c r="I380" s="4">
        <f t="shared" si="36"/>
        <v>28720</v>
      </c>
      <c r="J380" s="4">
        <f t="shared" si="37"/>
        <v>10770</v>
      </c>
      <c r="K380" s="4">
        <v>12750</v>
      </c>
      <c r="L380" s="4">
        <f t="shared" si="38"/>
        <v>411240</v>
      </c>
      <c r="M380" s="4">
        <f t="shared" si="35"/>
        <v>328992</v>
      </c>
      <c r="N380" s="5">
        <f t="shared" si="39"/>
        <v>82248</v>
      </c>
    </row>
    <row r="381" spans="1:14" x14ac:dyDescent="0.35">
      <c r="A381" t="s">
        <v>417</v>
      </c>
      <c r="B381" s="7">
        <v>45497</v>
      </c>
      <c r="C381" s="2" t="s">
        <v>15</v>
      </c>
      <c r="D381" s="2" t="s">
        <v>28</v>
      </c>
      <c r="E381" s="2" t="s">
        <v>29</v>
      </c>
      <c r="F381" t="s">
        <v>20</v>
      </c>
      <c r="G381" s="2">
        <v>3</v>
      </c>
      <c r="H381" s="3">
        <f t="shared" si="34"/>
        <v>345000</v>
      </c>
      <c r="I381" s="4">
        <f t="shared" si="36"/>
        <v>27600</v>
      </c>
      <c r="J381" s="4">
        <f t="shared" si="37"/>
        <v>10350</v>
      </c>
      <c r="K381" s="4">
        <v>22170</v>
      </c>
      <c r="L381" s="4">
        <f t="shared" si="38"/>
        <v>1215360</v>
      </c>
      <c r="M381" s="4">
        <f t="shared" si="35"/>
        <v>972288</v>
      </c>
      <c r="N381" s="5">
        <f t="shared" si="39"/>
        <v>243072</v>
      </c>
    </row>
    <row r="382" spans="1:14" x14ac:dyDescent="0.35">
      <c r="A382" t="s">
        <v>418</v>
      </c>
      <c r="B382" s="7">
        <v>45417</v>
      </c>
      <c r="C382" s="2" t="s">
        <v>16</v>
      </c>
      <c r="D382" s="2" t="s">
        <v>30</v>
      </c>
      <c r="E382" s="2" t="s">
        <v>31</v>
      </c>
      <c r="F382" t="s">
        <v>21</v>
      </c>
      <c r="G382" s="2">
        <v>4</v>
      </c>
      <c r="H382" s="3">
        <f t="shared" si="34"/>
        <v>359000</v>
      </c>
      <c r="I382" s="4">
        <f t="shared" si="36"/>
        <v>28720</v>
      </c>
      <c r="J382" s="4">
        <f t="shared" si="37"/>
        <v>10770</v>
      </c>
      <c r="K382" s="4">
        <v>8928</v>
      </c>
      <c r="L382" s="4">
        <f t="shared" si="38"/>
        <v>1629672</v>
      </c>
      <c r="M382" s="4">
        <f t="shared" si="35"/>
        <v>1303737.6000000001</v>
      </c>
      <c r="N382" s="5">
        <f t="shared" si="39"/>
        <v>325934.39999999991</v>
      </c>
    </row>
    <row r="383" spans="1:14" x14ac:dyDescent="0.35">
      <c r="A383" t="s">
        <v>419</v>
      </c>
      <c r="B383" s="7">
        <v>45555</v>
      </c>
      <c r="C383" s="2" t="s">
        <v>16</v>
      </c>
      <c r="D383" s="2" t="s">
        <v>32</v>
      </c>
      <c r="E383" s="2" t="s">
        <v>33</v>
      </c>
      <c r="F383" t="s">
        <v>19</v>
      </c>
      <c r="G383" s="2">
        <v>5</v>
      </c>
      <c r="H383" s="3">
        <f t="shared" si="34"/>
        <v>319000</v>
      </c>
      <c r="I383" s="4">
        <f t="shared" si="36"/>
        <v>25520</v>
      </c>
      <c r="J383" s="4">
        <f t="shared" si="37"/>
        <v>9570</v>
      </c>
      <c r="K383" s="4">
        <v>17383</v>
      </c>
      <c r="L383" s="4">
        <f t="shared" si="38"/>
        <v>1857365</v>
      </c>
      <c r="M383" s="4">
        <f t="shared" si="35"/>
        <v>1485892</v>
      </c>
      <c r="N383" s="5">
        <f t="shared" si="39"/>
        <v>371473</v>
      </c>
    </row>
    <row r="384" spans="1:14" x14ac:dyDescent="0.35">
      <c r="A384" t="s">
        <v>420</v>
      </c>
      <c r="B384" s="7">
        <v>45641</v>
      </c>
      <c r="C384" s="2" t="s">
        <v>17</v>
      </c>
      <c r="D384" s="2" t="s">
        <v>34</v>
      </c>
      <c r="E384" s="2" t="s">
        <v>35</v>
      </c>
      <c r="F384" t="s">
        <v>21</v>
      </c>
      <c r="G384" s="2">
        <v>2</v>
      </c>
      <c r="H384" s="3">
        <f t="shared" si="34"/>
        <v>359000</v>
      </c>
      <c r="I384" s="4">
        <f t="shared" si="36"/>
        <v>28720</v>
      </c>
      <c r="J384" s="4">
        <f t="shared" si="37"/>
        <v>10770</v>
      </c>
      <c r="K384" s="4">
        <v>13737</v>
      </c>
      <c r="L384" s="4">
        <f t="shared" si="38"/>
        <v>824454</v>
      </c>
      <c r="M384" s="4">
        <f t="shared" si="35"/>
        <v>659563.20000000007</v>
      </c>
      <c r="N384" s="5">
        <f t="shared" si="39"/>
        <v>164890.79999999993</v>
      </c>
    </row>
    <row r="385" spans="1:14" x14ac:dyDescent="0.35">
      <c r="A385" t="s">
        <v>421</v>
      </c>
      <c r="B385" s="7">
        <v>45430</v>
      </c>
      <c r="C385" s="2" t="s">
        <v>18</v>
      </c>
      <c r="D385" s="2" t="s">
        <v>36</v>
      </c>
      <c r="E385" s="2" t="s">
        <v>37</v>
      </c>
      <c r="F385" t="s">
        <v>21</v>
      </c>
      <c r="G385" s="2">
        <v>3</v>
      </c>
      <c r="H385" s="3">
        <f t="shared" si="34"/>
        <v>359000</v>
      </c>
      <c r="I385" s="4">
        <f t="shared" si="36"/>
        <v>28720</v>
      </c>
      <c r="J385" s="4">
        <f t="shared" si="37"/>
        <v>10770</v>
      </c>
      <c r="K385" s="4">
        <v>7263</v>
      </c>
      <c r="L385" s="4">
        <f t="shared" si="38"/>
        <v>1217259</v>
      </c>
      <c r="M385" s="4">
        <f t="shared" si="35"/>
        <v>973807.20000000007</v>
      </c>
      <c r="N385" s="5">
        <f t="shared" si="39"/>
        <v>243451.79999999993</v>
      </c>
    </row>
    <row r="386" spans="1:14" x14ac:dyDescent="0.35">
      <c r="A386" t="s">
        <v>422</v>
      </c>
      <c r="B386" s="7">
        <v>45569</v>
      </c>
      <c r="C386" s="2" t="s">
        <v>14</v>
      </c>
      <c r="D386" s="2" t="s">
        <v>22</v>
      </c>
      <c r="E386" s="2" t="s">
        <v>23</v>
      </c>
      <c r="F386" t="s">
        <v>19</v>
      </c>
      <c r="G386" s="2">
        <v>4</v>
      </c>
      <c r="H386" s="3">
        <f t="shared" ref="H386:H449" si="40">IF(TRIM(F386)="Standard",319000,IF(TRIM(F386)="Custom",345000,IF(TRIM(F386)="Chrome",359000,"")))</f>
        <v>319000</v>
      </c>
      <c r="I386" s="4">
        <f t="shared" si="36"/>
        <v>25520</v>
      </c>
      <c r="J386" s="4">
        <f t="shared" si="37"/>
        <v>9570</v>
      </c>
      <c r="K386" s="4">
        <v>13049</v>
      </c>
      <c r="L386" s="4">
        <f t="shared" si="38"/>
        <v>1468556</v>
      </c>
      <c r="M386" s="4">
        <f t="shared" si="35"/>
        <v>1174844.8</v>
      </c>
      <c r="N386" s="5">
        <f t="shared" si="39"/>
        <v>293711.19999999995</v>
      </c>
    </row>
    <row r="387" spans="1:14" x14ac:dyDescent="0.35">
      <c r="A387" t="s">
        <v>423</v>
      </c>
      <c r="B387" s="7">
        <v>45388</v>
      </c>
      <c r="C387" s="2" t="s">
        <v>14</v>
      </c>
      <c r="D387" s="2" t="s">
        <v>24</v>
      </c>
      <c r="E387" s="2" t="s">
        <v>25</v>
      </c>
      <c r="F387" t="s">
        <v>20</v>
      </c>
      <c r="G387" s="2">
        <v>4</v>
      </c>
      <c r="H387" s="3">
        <f t="shared" si="40"/>
        <v>345000</v>
      </c>
      <c r="I387" s="4">
        <f t="shared" si="36"/>
        <v>27600</v>
      </c>
      <c r="J387" s="4">
        <f t="shared" si="37"/>
        <v>10350</v>
      </c>
      <c r="K387" s="4">
        <v>7866</v>
      </c>
      <c r="L387" s="4">
        <f t="shared" si="38"/>
        <v>1563264</v>
      </c>
      <c r="M387" s="4">
        <f t="shared" ref="M387:M450" si="41">L387*0.8</f>
        <v>1250611.2</v>
      </c>
      <c r="N387" s="5">
        <f t="shared" si="39"/>
        <v>312652.80000000005</v>
      </c>
    </row>
    <row r="388" spans="1:14" x14ac:dyDescent="0.35">
      <c r="A388" t="s">
        <v>424</v>
      </c>
      <c r="B388" s="7">
        <v>45376</v>
      </c>
      <c r="C388" s="2" t="s">
        <v>15</v>
      </c>
      <c r="D388" s="2" t="s">
        <v>26</v>
      </c>
      <c r="E388" s="2" t="s">
        <v>27</v>
      </c>
      <c r="F388" t="s">
        <v>21</v>
      </c>
      <c r="G388" s="2">
        <v>3</v>
      </c>
      <c r="H388" s="3">
        <f t="shared" si="40"/>
        <v>359000</v>
      </c>
      <c r="I388" s="4">
        <f t="shared" si="36"/>
        <v>28720</v>
      </c>
      <c r="J388" s="4">
        <f t="shared" si="37"/>
        <v>10770</v>
      </c>
      <c r="K388" s="4">
        <v>12426</v>
      </c>
      <c r="L388" s="4">
        <f t="shared" si="38"/>
        <v>1232748</v>
      </c>
      <c r="M388" s="4">
        <f t="shared" si="41"/>
        <v>986198.4</v>
      </c>
      <c r="N388" s="5">
        <f t="shared" si="39"/>
        <v>246549.59999999998</v>
      </c>
    </row>
    <row r="389" spans="1:14" x14ac:dyDescent="0.35">
      <c r="A389" t="s">
        <v>425</v>
      </c>
      <c r="B389" s="7">
        <v>45499</v>
      </c>
      <c r="C389" s="2" t="s">
        <v>15</v>
      </c>
      <c r="D389" s="2" t="s">
        <v>28</v>
      </c>
      <c r="E389" s="2" t="s">
        <v>29</v>
      </c>
      <c r="F389" t="s">
        <v>20</v>
      </c>
      <c r="G389" s="2">
        <v>2</v>
      </c>
      <c r="H389" s="3">
        <f t="shared" si="40"/>
        <v>345000</v>
      </c>
      <c r="I389" s="4">
        <f t="shared" si="36"/>
        <v>27600</v>
      </c>
      <c r="J389" s="4">
        <f t="shared" si="37"/>
        <v>10350</v>
      </c>
      <c r="K389" s="4">
        <v>21687</v>
      </c>
      <c r="L389" s="4">
        <f t="shared" si="38"/>
        <v>809274</v>
      </c>
      <c r="M389" s="4">
        <f t="shared" si="41"/>
        <v>647419.20000000007</v>
      </c>
      <c r="N389" s="5">
        <f t="shared" si="39"/>
        <v>161854.79999999993</v>
      </c>
    </row>
    <row r="390" spans="1:14" x14ac:dyDescent="0.35">
      <c r="A390" t="s">
        <v>426</v>
      </c>
      <c r="B390" s="7">
        <v>45450</v>
      </c>
      <c r="C390" s="2" t="s">
        <v>16</v>
      </c>
      <c r="D390" s="2" t="s">
        <v>30</v>
      </c>
      <c r="E390" s="2" t="s">
        <v>31</v>
      </c>
      <c r="F390" t="s">
        <v>21</v>
      </c>
      <c r="G390" s="2">
        <v>3</v>
      </c>
      <c r="H390" s="3">
        <f t="shared" si="40"/>
        <v>359000</v>
      </c>
      <c r="I390" s="4">
        <f t="shared" si="36"/>
        <v>28720</v>
      </c>
      <c r="J390" s="4">
        <f t="shared" si="37"/>
        <v>10770</v>
      </c>
      <c r="K390" s="4">
        <v>13326</v>
      </c>
      <c r="L390" s="4">
        <f t="shared" si="38"/>
        <v>1235448</v>
      </c>
      <c r="M390" s="4">
        <f t="shared" si="41"/>
        <v>988358.4</v>
      </c>
      <c r="N390" s="5">
        <f t="shared" si="39"/>
        <v>247089.59999999998</v>
      </c>
    </row>
    <row r="391" spans="1:14" x14ac:dyDescent="0.35">
      <c r="A391" t="s">
        <v>427</v>
      </c>
      <c r="B391" s="7">
        <v>45638</v>
      </c>
      <c r="C391" s="2" t="s">
        <v>16</v>
      </c>
      <c r="D391" s="2" t="s">
        <v>32</v>
      </c>
      <c r="E391" s="2" t="s">
        <v>33</v>
      </c>
      <c r="F391" t="s">
        <v>19</v>
      </c>
      <c r="G391" s="2">
        <v>2</v>
      </c>
      <c r="H391" s="3">
        <f t="shared" si="40"/>
        <v>319000</v>
      </c>
      <c r="I391" s="4">
        <f t="shared" si="36"/>
        <v>25520</v>
      </c>
      <c r="J391" s="4">
        <f t="shared" si="37"/>
        <v>9570</v>
      </c>
      <c r="K391" s="4">
        <v>7658</v>
      </c>
      <c r="L391" s="4">
        <f t="shared" si="38"/>
        <v>723496</v>
      </c>
      <c r="M391" s="4">
        <f t="shared" si="41"/>
        <v>578796.80000000005</v>
      </c>
      <c r="N391" s="5">
        <f t="shared" si="39"/>
        <v>144699.19999999995</v>
      </c>
    </row>
    <row r="392" spans="1:14" x14ac:dyDescent="0.35">
      <c r="A392" t="s">
        <v>428</v>
      </c>
      <c r="B392" s="7">
        <v>45446</v>
      </c>
      <c r="C392" s="2" t="s">
        <v>17</v>
      </c>
      <c r="D392" s="2" t="s">
        <v>34</v>
      </c>
      <c r="E392" s="2" t="s">
        <v>35</v>
      </c>
      <c r="F392" t="s">
        <v>21</v>
      </c>
      <c r="G392" s="2">
        <v>5</v>
      </c>
      <c r="H392" s="3">
        <f t="shared" si="40"/>
        <v>359000</v>
      </c>
      <c r="I392" s="4">
        <f t="shared" si="36"/>
        <v>28720</v>
      </c>
      <c r="J392" s="4">
        <f t="shared" si="37"/>
        <v>10770</v>
      </c>
      <c r="K392" s="4">
        <v>6097</v>
      </c>
      <c r="L392" s="4">
        <f t="shared" si="38"/>
        <v>2022935</v>
      </c>
      <c r="M392" s="4">
        <f t="shared" si="41"/>
        <v>1618348</v>
      </c>
      <c r="N392" s="5">
        <f t="shared" si="39"/>
        <v>404587</v>
      </c>
    </row>
    <row r="393" spans="1:14" x14ac:dyDescent="0.35">
      <c r="A393" t="s">
        <v>429</v>
      </c>
      <c r="B393" s="7">
        <v>45305</v>
      </c>
      <c r="C393" s="2" t="s">
        <v>18</v>
      </c>
      <c r="D393" s="2" t="s">
        <v>36</v>
      </c>
      <c r="E393" s="2" t="s">
        <v>37</v>
      </c>
      <c r="F393" t="s">
        <v>21</v>
      </c>
      <c r="G393" s="2">
        <v>3</v>
      </c>
      <c r="H393" s="3">
        <f t="shared" si="40"/>
        <v>359000</v>
      </c>
      <c r="I393" s="4">
        <f t="shared" si="36"/>
        <v>28720</v>
      </c>
      <c r="J393" s="4">
        <f t="shared" si="37"/>
        <v>10770</v>
      </c>
      <c r="K393" s="4">
        <v>16364</v>
      </c>
      <c r="L393" s="4">
        <f t="shared" si="38"/>
        <v>1244562</v>
      </c>
      <c r="M393" s="4">
        <f t="shared" si="41"/>
        <v>995649.60000000009</v>
      </c>
      <c r="N393" s="5">
        <f t="shared" si="39"/>
        <v>248912.39999999991</v>
      </c>
    </row>
    <row r="394" spans="1:14" x14ac:dyDescent="0.35">
      <c r="A394" t="s">
        <v>430</v>
      </c>
      <c r="B394" s="7">
        <v>45378</v>
      </c>
      <c r="C394" s="2" t="s">
        <v>14</v>
      </c>
      <c r="D394" s="2" t="s">
        <v>22</v>
      </c>
      <c r="E394" s="2" t="s">
        <v>23</v>
      </c>
      <c r="F394" t="s">
        <v>19</v>
      </c>
      <c r="G394" s="2">
        <v>4</v>
      </c>
      <c r="H394" s="3">
        <f t="shared" si="40"/>
        <v>319000</v>
      </c>
      <c r="I394" s="4">
        <f t="shared" ref="I394:I457" si="42">H394*0.08</f>
        <v>25520</v>
      </c>
      <c r="J394" s="4">
        <f t="shared" ref="J394:J457" si="43">H394*0.03</f>
        <v>9570</v>
      </c>
      <c r="K394" s="4">
        <v>17828</v>
      </c>
      <c r="L394" s="4">
        <f t="shared" ref="L394:L457" si="44">G394*(H394+I394+J394+K394)</f>
        <v>1487672</v>
      </c>
      <c r="M394" s="4">
        <f t="shared" si="41"/>
        <v>1190137.6000000001</v>
      </c>
      <c r="N394" s="5">
        <f t="shared" ref="N394:N457" si="45">L394-M394</f>
        <v>297534.39999999991</v>
      </c>
    </row>
    <row r="395" spans="1:14" x14ac:dyDescent="0.35">
      <c r="A395" t="s">
        <v>431</v>
      </c>
      <c r="B395" s="7">
        <v>45355</v>
      </c>
      <c r="C395" s="2" t="s">
        <v>14</v>
      </c>
      <c r="D395" s="2" t="s">
        <v>24</v>
      </c>
      <c r="E395" s="2" t="s">
        <v>25</v>
      </c>
      <c r="F395" t="s">
        <v>20</v>
      </c>
      <c r="G395" s="2">
        <v>2</v>
      </c>
      <c r="H395" s="3">
        <f t="shared" si="40"/>
        <v>345000</v>
      </c>
      <c r="I395" s="4">
        <f t="shared" si="42"/>
        <v>27600</v>
      </c>
      <c r="J395" s="4">
        <f t="shared" si="43"/>
        <v>10350</v>
      </c>
      <c r="K395" s="4">
        <v>5334</v>
      </c>
      <c r="L395" s="4">
        <f t="shared" si="44"/>
        <v>776568</v>
      </c>
      <c r="M395" s="4">
        <f t="shared" si="41"/>
        <v>621254.40000000002</v>
      </c>
      <c r="N395" s="5">
        <f t="shared" si="45"/>
        <v>155313.59999999998</v>
      </c>
    </row>
    <row r="396" spans="1:14" x14ac:dyDescent="0.35">
      <c r="A396" t="s">
        <v>432</v>
      </c>
      <c r="B396" s="7">
        <v>45303</v>
      </c>
      <c r="C396" s="2" t="s">
        <v>15</v>
      </c>
      <c r="D396" s="2" t="s">
        <v>26</v>
      </c>
      <c r="E396" s="2" t="s">
        <v>27</v>
      </c>
      <c r="F396" t="s">
        <v>21</v>
      </c>
      <c r="G396" s="2">
        <v>2</v>
      </c>
      <c r="H396" s="3">
        <f t="shared" si="40"/>
        <v>359000</v>
      </c>
      <c r="I396" s="4">
        <f t="shared" si="42"/>
        <v>28720</v>
      </c>
      <c r="J396" s="4">
        <f t="shared" si="43"/>
        <v>10770</v>
      </c>
      <c r="K396" s="4">
        <v>19165</v>
      </c>
      <c r="L396" s="4">
        <f t="shared" si="44"/>
        <v>835310</v>
      </c>
      <c r="M396" s="4">
        <f t="shared" si="41"/>
        <v>668248</v>
      </c>
      <c r="N396" s="5">
        <f t="shared" si="45"/>
        <v>167062</v>
      </c>
    </row>
    <row r="397" spans="1:14" x14ac:dyDescent="0.35">
      <c r="A397" t="s">
        <v>433</v>
      </c>
      <c r="B397" s="7">
        <v>45646</v>
      </c>
      <c r="C397" s="2" t="s">
        <v>15</v>
      </c>
      <c r="D397" s="2" t="s">
        <v>28</v>
      </c>
      <c r="E397" s="2" t="s">
        <v>29</v>
      </c>
      <c r="F397" t="s">
        <v>20</v>
      </c>
      <c r="G397" s="2">
        <v>5</v>
      </c>
      <c r="H397" s="3">
        <f t="shared" si="40"/>
        <v>345000</v>
      </c>
      <c r="I397" s="4">
        <f t="shared" si="42"/>
        <v>27600</v>
      </c>
      <c r="J397" s="4">
        <f t="shared" si="43"/>
        <v>10350</v>
      </c>
      <c r="K397" s="4">
        <v>9966</v>
      </c>
      <c r="L397" s="4">
        <f t="shared" si="44"/>
        <v>1964580</v>
      </c>
      <c r="M397" s="4">
        <f t="shared" si="41"/>
        <v>1571664</v>
      </c>
      <c r="N397" s="5">
        <f t="shared" si="45"/>
        <v>392916</v>
      </c>
    </row>
    <row r="398" spans="1:14" x14ac:dyDescent="0.35">
      <c r="A398" t="s">
        <v>434</v>
      </c>
      <c r="B398" s="7">
        <v>45637</v>
      </c>
      <c r="C398" s="2" t="s">
        <v>16</v>
      </c>
      <c r="D398" s="2" t="s">
        <v>30</v>
      </c>
      <c r="E398" s="2" t="s">
        <v>31</v>
      </c>
      <c r="F398" t="s">
        <v>21</v>
      </c>
      <c r="G398" s="2">
        <v>2</v>
      </c>
      <c r="H398" s="3">
        <f t="shared" si="40"/>
        <v>359000</v>
      </c>
      <c r="I398" s="4">
        <f t="shared" si="42"/>
        <v>28720</v>
      </c>
      <c r="J398" s="4">
        <f t="shared" si="43"/>
        <v>10770</v>
      </c>
      <c r="K398" s="4">
        <v>15783</v>
      </c>
      <c r="L398" s="4">
        <f t="shared" si="44"/>
        <v>828546</v>
      </c>
      <c r="M398" s="4">
        <f t="shared" si="41"/>
        <v>662836.80000000005</v>
      </c>
      <c r="N398" s="5">
        <f t="shared" si="45"/>
        <v>165709.19999999995</v>
      </c>
    </row>
    <row r="399" spans="1:14" x14ac:dyDescent="0.35">
      <c r="A399" t="s">
        <v>435</v>
      </c>
      <c r="B399" s="7">
        <v>45586</v>
      </c>
      <c r="C399" s="2" t="s">
        <v>16</v>
      </c>
      <c r="D399" s="2" t="s">
        <v>32</v>
      </c>
      <c r="E399" s="2" t="s">
        <v>33</v>
      </c>
      <c r="F399" t="s">
        <v>19</v>
      </c>
      <c r="G399" s="2">
        <v>5</v>
      </c>
      <c r="H399" s="3">
        <f t="shared" si="40"/>
        <v>319000</v>
      </c>
      <c r="I399" s="4">
        <f t="shared" si="42"/>
        <v>25520</v>
      </c>
      <c r="J399" s="4">
        <f t="shared" si="43"/>
        <v>9570</v>
      </c>
      <c r="K399" s="4">
        <v>5336</v>
      </c>
      <c r="L399" s="4">
        <f t="shared" si="44"/>
        <v>1797130</v>
      </c>
      <c r="M399" s="4">
        <f t="shared" si="41"/>
        <v>1437704</v>
      </c>
      <c r="N399" s="5">
        <f t="shared" si="45"/>
        <v>359426</v>
      </c>
    </row>
    <row r="400" spans="1:14" x14ac:dyDescent="0.35">
      <c r="A400" t="s">
        <v>436</v>
      </c>
      <c r="B400" s="7">
        <v>45396</v>
      </c>
      <c r="C400" s="2" t="s">
        <v>17</v>
      </c>
      <c r="D400" s="2" t="s">
        <v>34</v>
      </c>
      <c r="E400" s="2" t="s">
        <v>35</v>
      </c>
      <c r="F400" t="s">
        <v>21</v>
      </c>
      <c r="G400" s="2">
        <v>3</v>
      </c>
      <c r="H400" s="3">
        <f t="shared" si="40"/>
        <v>359000</v>
      </c>
      <c r="I400" s="4">
        <f t="shared" si="42"/>
        <v>28720</v>
      </c>
      <c r="J400" s="4">
        <f t="shared" si="43"/>
        <v>10770</v>
      </c>
      <c r="K400" s="4">
        <v>9638</v>
      </c>
      <c r="L400" s="4">
        <f t="shared" si="44"/>
        <v>1224384</v>
      </c>
      <c r="M400" s="4">
        <f t="shared" si="41"/>
        <v>979507.20000000007</v>
      </c>
      <c r="N400" s="5">
        <f t="shared" si="45"/>
        <v>244876.79999999993</v>
      </c>
    </row>
    <row r="401" spans="1:14" x14ac:dyDescent="0.35">
      <c r="A401" t="s">
        <v>437</v>
      </c>
      <c r="B401" s="7">
        <v>45447</v>
      </c>
      <c r="C401" s="2" t="s">
        <v>18</v>
      </c>
      <c r="D401" s="2" t="s">
        <v>36</v>
      </c>
      <c r="E401" s="2" t="s">
        <v>37</v>
      </c>
      <c r="F401" t="s">
        <v>21</v>
      </c>
      <c r="G401" s="2">
        <v>3</v>
      </c>
      <c r="H401" s="3">
        <f t="shared" si="40"/>
        <v>359000</v>
      </c>
      <c r="I401" s="4">
        <f t="shared" si="42"/>
        <v>28720</v>
      </c>
      <c r="J401" s="4">
        <f t="shared" si="43"/>
        <v>10770</v>
      </c>
      <c r="K401" s="4">
        <v>12114</v>
      </c>
      <c r="L401" s="4">
        <f t="shared" si="44"/>
        <v>1231812</v>
      </c>
      <c r="M401" s="4">
        <f t="shared" si="41"/>
        <v>985449.60000000009</v>
      </c>
      <c r="N401" s="5">
        <f t="shared" si="45"/>
        <v>246362.39999999991</v>
      </c>
    </row>
    <row r="402" spans="1:14" x14ac:dyDescent="0.35">
      <c r="A402" t="s">
        <v>438</v>
      </c>
      <c r="B402" s="7">
        <v>45592</v>
      </c>
      <c r="C402" s="2" t="s">
        <v>14</v>
      </c>
      <c r="D402" s="2" t="s">
        <v>22</v>
      </c>
      <c r="E402" s="2" t="s">
        <v>23</v>
      </c>
      <c r="F402" t="s">
        <v>19</v>
      </c>
      <c r="G402" s="2">
        <v>1</v>
      </c>
      <c r="H402" s="3">
        <f t="shared" si="40"/>
        <v>319000</v>
      </c>
      <c r="I402" s="4">
        <f t="shared" si="42"/>
        <v>25520</v>
      </c>
      <c r="J402" s="4">
        <f t="shared" si="43"/>
        <v>9570</v>
      </c>
      <c r="K402" s="4">
        <v>9770</v>
      </c>
      <c r="L402" s="4">
        <f t="shared" si="44"/>
        <v>363860</v>
      </c>
      <c r="M402" s="4">
        <f t="shared" si="41"/>
        <v>291088</v>
      </c>
      <c r="N402" s="5">
        <f t="shared" si="45"/>
        <v>72772</v>
      </c>
    </row>
    <row r="403" spans="1:14" x14ac:dyDescent="0.35">
      <c r="A403" t="s">
        <v>439</v>
      </c>
      <c r="B403" s="7">
        <v>45551</v>
      </c>
      <c r="C403" s="2" t="s">
        <v>14</v>
      </c>
      <c r="D403" s="2" t="s">
        <v>24</v>
      </c>
      <c r="E403" s="2" t="s">
        <v>25</v>
      </c>
      <c r="F403" t="s">
        <v>20</v>
      </c>
      <c r="G403" s="2">
        <v>5</v>
      </c>
      <c r="H403" s="3">
        <f t="shared" si="40"/>
        <v>345000</v>
      </c>
      <c r="I403" s="4">
        <f t="shared" si="42"/>
        <v>27600</v>
      </c>
      <c r="J403" s="4">
        <f t="shared" si="43"/>
        <v>10350</v>
      </c>
      <c r="K403" s="4">
        <v>22391</v>
      </c>
      <c r="L403" s="4">
        <f t="shared" si="44"/>
        <v>2026705</v>
      </c>
      <c r="M403" s="4">
        <f t="shared" si="41"/>
        <v>1621364</v>
      </c>
      <c r="N403" s="5">
        <f t="shared" si="45"/>
        <v>405341</v>
      </c>
    </row>
    <row r="404" spans="1:14" x14ac:dyDescent="0.35">
      <c r="A404" t="s">
        <v>440</v>
      </c>
      <c r="B404" s="7">
        <v>45518</v>
      </c>
      <c r="C404" s="2" t="s">
        <v>15</v>
      </c>
      <c r="D404" s="2" t="s">
        <v>26</v>
      </c>
      <c r="E404" s="2" t="s">
        <v>27</v>
      </c>
      <c r="F404" t="s">
        <v>21</v>
      </c>
      <c r="G404" s="2">
        <v>3</v>
      </c>
      <c r="H404" s="3">
        <f t="shared" si="40"/>
        <v>359000</v>
      </c>
      <c r="I404" s="4">
        <f t="shared" si="42"/>
        <v>28720</v>
      </c>
      <c r="J404" s="4">
        <f t="shared" si="43"/>
        <v>10770</v>
      </c>
      <c r="K404" s="4">
        <v>13605</v>
      </c>
      <c r="L404" s="4">
        <f t="shared" si="44"/>
        <v>1236285</v>
      </c>
      <c r="M404" s="4">
        <f t="shared" si="41"/>
        <v>989028</v>
      </c>
      <c r="N404" s="5">
        <f t="shared" si="45"/>
        <v>247257</v>
      </c>
    </row>
    <row r="405" spans="1:14" x14ac:dyDescent="0.35">
      <c r="A405" t="s">
        <v>441</v>
      </c>
      <c r="B405" s="7">
        <v>45515</v>
      </c>
      <c r="C405" s="2" t="s">
        <v>15</v>
      </c>
      <c r="D405" s="2" t="s">
        <v>28</v>
      </c>
      <c r="E405" s="2" t="s">
        <v>29</v>
      </c>
      <c r="F405" t="s">
        <v>20</v>
      </c>
      <c r="G405" s="2">
        <v>2</v>
      </c>
      <c r="H405" s="3">
        <f t="shared" si="40"/>
        <v>345000</v>
      </c>
      <c r="I405" s="4">
        <f t="shared" si="42"/>
        <v>27600</v>
      </c>
      <c r="J405" s="4">
        <f t="shared" si="43"/>
        <v>10350</v>
      </c>
      <c r="K405" s="4">
        <v>12624</v>
      </c>
      <c r="L405" s="4">
        <f t="shared" si="44"/>
        <v>791148</v>
      </c>
      <c r="M405" s="4">
        <f t="shared" si="41"/>
        <v>632918.4</v>
      </c>
      <c r="N405" s="5">
        <f t="shared" si="45"/>
        <v>158229.59999999998</v>
      </c>
    </row>
    <row r="406" spans="1:14" x14ac:dyDescent="0.35">
      <c r="A406" t="s">
        <v>442</v>
      </c>
      <c r="B406" s="7">
        <v>45294</v>
      </c>
      <c r="C406" s="2" t="s">
        <v>16</v>
      </c>
      <c r="D406" s="2" t="s">
        <v>30</v>
      </c>
      <c r="E406" s="2" t="s">
        <v>31</v>
      </c>
      <c r="F406" t="s">
        <v>21</v>
      </c>
      <c r="G406" s="2">
        <v>4</v>
      </c>
      <c r="H406" s="3">
        <f t="shared" si="40"/>
        <v>359000</v>
      </c>
      <c r="I406" s="4">
        <f t="shared" si="42"/>
        <v>28720</v>
      </c>
      <c r="J406" s="4">
        <f t="shared" si="43"/>
        <v>10770</v>
      </c>
      <c r="K406" s="4">
        <v>13592</v>
      </c>
      <c r="L406" s="4">
        <f t="shared" si="44"/>
        <v>1648328</v>
      </c>
      <c r="M406" s="4">
        <f t="shared" si="41"/>
        <v>1318662.4000000001</v>
      </c>
      <c r="N406" s="5">
        <f t="shared" si="45"/>
        <v>329665.59999999986</v>
      </c>
    </row>
    <row r="407" spans="1:14" x14ac:dyDescent="0.35">
      <c r="A407" t="s">
        <v>443</v>
      </c>
      <c r="B407" s="7">
        <v>45438</v>
      </c>
      <c r="C407" s="2" t="s">
        <v>16</v>
      </c>
      <c r="D407" s="2" t="s">
        <v>32</v>
      </c>
      <c r="E407" s="2" t="s">
        <v>33</v>
      </c>
      <c r="F407" t="s">
        <v>19</v>
      </c>
      <c r="G407" s="2">
        <v>5</v>
      </c>
      <c r="H407" s="3">
        <f t="shared" si="40"/>
        <v>319000</v>
      </c>
      <c r="I407" s="4">
        <f t="shared" si="42"/>
        <v>25520</v>
      </c>
      <c r="J407" s="4">
        <f t="shared" si="43"/>
        <v>9570</v>
      </c>
      <c r="K407" s="4">
        <v>17702</v>
      </c>
      <c r="L407" s="4">
        <f t="shared" si="44"/>
        <v>1858960</v>
      </c>
      <c r="M407" s="4">
        <f t="shared" si="41"/>
        <v>1487168</v>
      </c>
      <c r="N407" s="5">
        <f t="shared" si="45"/>
        <v>371792</v>
      </c>
    </row>
    <row r="408" spans="1:14" x14ac:dyDescent="0.35">
      <c r="A408" t="s">
        <v>444</v>
      </c>
      <c r="B408" s="7">
        <v>45481</v>
      </c>
      <c r="C408" s="2" t="s">
        <v>17</v>
      </c>
      <c r="D408" s="2" t="s">
        <v>34</v>
      </c>
      <c r="E408" s="2" t="s">
        <v>35</v>
      </c>
      <c r="F408" t="s">
        <v>21</v>
      </c>
      <c r="G408" s="2">
        <v>4</v>
      </c>
      <c r="H408" s="3">
        <f t="shared" si="40"/>
        <v>359000</v>
      </c>
      <c r="I408" s="4">
        <f t="shared" si="42"/>
        <v>28720</v>
      </c>
      <c r="J408" s="4">
        <f t="shared" si="43"/>
        <v>10770</v>
      </c>
      <c r="K408" s="4">
        <v>10692</v>
      </c>
      <c r="L408" s="4">
        <f t="shared" si="44"/>
        <v>1636728</v>
      </c>
      <c r="M408" s="4">
        <f t="shared" si="41"/>
        <v>1309382.4000000001</v>
      </c>
      <c r="N408" s="5">
        <f t="shared" si="45"/>
        <v>327345.59999999986</v>
      </c>
    </row>
    <row r="409" spans="1:14" x14ac:dyDescent="0.35">
      <c r="A409" t="s">
        <v>445</v>
      </c>
      <c r="B409" s="7">
        <v>45602</v>
      </c>
      <c r="C409" s="2" t="s">
        <v>18</v>
      </c>
      <c r="D409" s="2" t="s">
        <v>36</v>
      </c>
      <c r="E409" s="2" t="s">
        <v>37</v>
      </c>
      <c r="F409" t="s">
        <v>21</v>
      </c>
      <c r="G409" s="2">
        <v>5</v>
      </c>
      <c r="H409" s="3">
        <f t="shared" si="40"/>
        <v>359000</v>
      </c>
      <c r="I409" s="4">
        <f t="shared" si="42"/>
        <v>28720</v>
      </c>
      <c r="J409" s="4">
        <f t="shared" si="43"/>
        <v>10770</v>
      </c>
      <c r="K409" s="4">
        <v>17600</v>
      </c>
      <c r="L409" s="4">
        <f t="shared" si="44"/>
        <v>2080450</v>
      </c>
      <c r="M409" s="4">
        <f t="shared" si="41"/>
        <v>1664360</v>
      </c>
      <c r="N409" s="5">
        <f t="shared" si="45"/>
        <v>416090</v>
      </c>
    </row>
    <row r="410" spans="1:14" x14ac:dyDescent="0.35">
      <c r="A410" t="s">
        <v>446</v>
      </c>
      <c r="B410" s="7">
        <v>45649</v>
      </c>
      <c r="C410" s="2" t="s">
        <v>14</v>
      </c>
      <c r="D410" s="2" t="s">
        <v>22</v>
      </c>
      <c r="E410" s="2" t="s">
        <v>23</v>
      </c>
      <c r="F410" t="s">
        <v>19</v>
      </c>
      <c r="G410" s="2">
        <v>4</v>
      </c>
      <c r="H410" s="3">
        <f t="shared" si="40"/>
        <v>319000</v>
      </c>
      <c r="I410" s="4">
        <f t="shared" si="42"/>
        <v>25520</v>
      </c>
      <c r="J410" s="4">
        <f t="shared" si="43"/>
        <v>9570</v>
      </c>
      <c r="K410" s="4">
        <v>21968</v>
      </c>
      <c r="L410" s="4">
        <f t="shared" si="44"/>
        <v>1504232</v>
      </c>
      <c r="M410" s="4">
        <f t="shared" si="41"/>
        <v>1203385.6000000001</v>
      </c>
      <c r="N410" s="5">
        <f t="shared" si="45"/>
        <v>300846.39999999991</v>
      </c>
    </row>
    <row r="411" spans="1:14" x14ac:dyDescent="0.35">
      <c r="A411" t="s">
        <v>447</v>
      </c>
      <c r="B411" s="7">
        <v>45598</v>
      </c>
      <c r="C411" s="2" t="s">
        <v>14</v>
      </c>
      <c r="D411" s="2" t="s">
        <v>24</v>
      </c>
      <c r="E411" s="2" t="s">
        <v>25</v>
      </c>
      <c r="F411" t="s">
        <v>20</v>
      </c>
      <c r="G411" s="2">
        <v>5</v>
      </c>
      <c r="H411" s="3">
        <f t="shared" si="40"/>
        <v>345000</v>
      </c>
      <c r="I411" s="4">
        <f t="shared" si="42"/>
        <v>27600</v>
      </c>
      <c r="J411" s="4">
        <f t="shared" si="43"/>
        <v>10350</v>
      </c>
      <c r="K411" s="4">
        <v>16791</v>
      </c>
      <c r="L411" s="4">
        <f t="shared" si="44"/>
        <v>1998705</v>
      </c>
      <c r="M411" s="4">
        <f t="shared" si="41"/>
        <v>1598964</v>
      </c>
      <c r="N411" s="5">
        <f t="shared" si="45"/>
        <v>399741</v>
      </c>
    </row>
    <row r="412" spans="1:14" x14ac:dyDescent="0.35">
      <c r="A412" t="s">
        <v>448</v>
      </c>
      <c r="B412" s="7">
        <v>45510</v>
      </c>
      <c r="C412" s="2" t="s">
        <v>15</v>
      </c>
      <c r="D412" s="2" t="s">
        <v>26</v>
      </c>
      <c r="E412" s="2" t="s">
        <v>27</v>
      </c>
      <c r="F412" t="s">
        <v>21</v>
      </c>
      <c r="G412" s="2">
        <v>1</v>
      </c>
      <c r="H412" s="3">
        <f t="shared" si="40"/>
        <v>359000</v>
      </c>
      <c r="I412" s="4">
        <f t="shared" si="42"/>
        <v>28720</v>
      </c>
      <c r="J412" s="4">
        <f t="shared" si="43"/>
        <v>10770</v>
      </c>
      <c r="K412" s="4">
        <v>15961</v>
      </c>
      <c r="L412" s="4">
        <f t="shared" si="44"/>
        <v>414451</v>
      </c>
      <c r="M412" s="4">
        <f t="shared" si="41"/>
        <v>331560.80000000005</v>
      </c>
      <c r="N412" s="5">
        <f t="shared" si="45"/>
        <v>82890.199999999953</v>
      </c>
    </row>
    <row r="413" spans="1:14" x14ac:dyDescent="0.35">
      <c r="A413" t="s">
        <v>449</v>
      </c>
      <c r="B413" s="7">
        <v>45563</v>
      </c>
      <c r="C413" s="2" t="s">
        <v>15</v>
      </c>
      <c r="D413" s="2" t="s">
        <v>28</v>
      </c>
      <c r="E413" s="2" t="s">
        <v>29</v>
      </c>
      <c r="F413" t="s">
        <v>20</v>
      </c>
      <c r="G413" s="2">
        <v>4</v>
      </c>
      <c r="H413" s="3">
        <f t="shared" si="40"/>
        <v>345000</v>
      </c>
      <c r="I413" s="4">
        <f t="shared" si="42"/>
        <v>27600</v>
      </c>
      <c r="J413" s="4">
        <f t="shared" si="43"/>
        <v>10350</v>
      </c>
      <c r="K413" s="4">
        <v>22550</v>
      </c>
      <c r="L413" s="4">
        <f t="shared" si="44"/>
        <v>1622000</v>
      </c>
      <c r="M413" s="4">
        <f t="shared" si="41"/>
        <v>1297600</v>
      </c>
      <c r="N413" s="5">
        <f t="shared" si="45"/>
        <v>324400</v>
      </c>
    </row>
    <row r="414" spans="1:14" x14ac:dyDescent="0.35">
      <c r="A414" t="s">
        <v>450</v>
      </c>
      <c r="B414" s="7">
        <v>45493</v>
      </c>
      <c r="C414" s="2" t="s">
        <v>16</v>
      </c>
      <c r="D414" s="2" t="s">
        <v>30</v>
      </c>
      <c r="E414" s="2" t="s">
        <v>31</v>
      </c>
      <c r="F414" t="s">
        <v>21</v>
      </c>
      <c r="G414" s="2">
        <v>2</v>
      </c>
      <c r="H414" s="3">
        <f t="shared" si="40"/>
        <v>359000</v>
      </c>
      <c r="I414" s="4">
        <f t="shared" si="42"/>
        <v>28720</v>
      </c>
      <c r="J414" s="4">
        <f t="shared" si="43"/>
        <v>10770</v>
      </c>
      <c r="K414" s="4">
        <v>8098</v>
      </c>
      <c r="L414" s="4">
        <f t="shared" si="44"/>
        <v>813176</v>
      </c>
      <c r="M414" s="4">
        <f t="shared" si="41"/>
        <v>650540.80000000005</v>
      </c>
      <c r="N414" s="5">
        <f t="shared" si="45"/>
        <v>162635.19999999995</v>
      </c>
    </row>
    <row r="415" spans="1:14" x14ac:dyDescent="0.35">
      <c r="A415" t="s">
        <v>451</v>
      </c>
      <c r="B415" s="7">
        <v>45309</v>
      </c>
      <c r="C415" s="2" t="s">
        <v>16</v>
      </c>
      <c r="D415" s="2" t="s">
        <v>32</v>
      </c>
      <c r="E415" s="2" t="s">
        <v>33</v>
      </c>
      <c r="F415" t="s">
        <v>19</v>
      </c>
      <c r="G415" s="2">
        <v>2</v>
      </c>
      <c r="H415" s="3">
        <f t="shared" si="40"/>
        <v>319000</v>
      </c>
      <c r="I415" s="4">
        <f t="shared" si="42"/>
        <v>25520</v>
      </c>
      <c r="J415" s="4">
        <f t="shared" si="43"/>
        <v>9570</v>
      </c>
      <c r="K415" s="4">
        <v>22829</v>
      </c>
      <c r="L415" s="4">
        <f t="shared" si="44"/>
        <v>753838</v>
      </c>
      <c r="M415" s="4">
        <f t="shared" si="41"/>
        <v>603070.4</v>
      </c>
      <c r="N415" s="5">
        <f t="shared" si="45"/>
        <v>150767.59999999998</v>
      </c>
    </row>
    <row r="416" spans="1:14" x14ac:dyDescent="0.35">
      <c r="A416" t="s">
        <v>452</v>
      </c>
      <c r="B416" s="7">
        <v>45495</v>
      </c>
      <c r="C416" s="2" t="s">
        <v>17</v>
      </c>
      <c r="D416" s="2" t="s">
        <v>34</v>
      </c>
      <c r="E416" s="2" t="s">
        <v>35</v>
      </c>
      <c r="F416" t="s">
        <v>21</v>
      </c>
      <c r="G416" s="2">
        <v>1</v>
      </c>
      <c r="H416" s="3">
        <f t="shared" si="40"/>
        <v>359000</v>
      </c>
      <c r="I416" s="4">
        <f t="shared" si="42"/>
        <v>28720</v>
      </c>
      <c r="J416" s="4">
        <f t="shared" si="43"/>
        <v>10770</v>
      </c>
      <c r="K416" s="4">
        <v>8349</v>
      </c>
      <c r="L416" s="4">
        <f t="shared" si="44"/>
        <v>406839</v>
      </c>
      <c r="M416" s="4">
        <f t="shared" si="41"/>
        <v>325471.2</v>
      </c>
      <c r="N416" s="5">
        <f t="shared" si="45"/>
        <v>81367.799999999988</v>
      </c>
    </row>
    <row r="417" spans="1:14" x14ac:dyDescent="0.35">
      <c r="A417" t="s">
        <v>453</v>
      </c>
      <c r="B417" s="7">
        <v>45317</v>
      </c>
      <c r="C417" s="2" t="s">
        <v>18</v>
      </c>
      <c r="D417" s="2" t="s">
        <v>36</v>
      </c>
      <c r="E417" s="2" t="s">
        <v>37</v>
      </c>
      <c r="F417" t="s">
        <v>21</v>
      </c>
      <c r="G417" s="2">
        <v>4</v>
      </c>
      <c r="H417" s="3">
        <f t="shared" si="40"/>
        <v>359000</v>
      </c>
      <c r="I417" s="4">
        <f t="shared" si="42"/>
        <v>28720</v>
      </c>
      <c r="J417" s="4">
        <f t="shared" si="43"/>
        <v>10770</v>
      </c>
      <c r="K417" s="4">
        <v>21033</v>
      </c>
      <c r="L417" s="4">
        <f t="shared" si="44"/>
        <v>1678092</v>
      </c>
      <c r="M417" s="4">
        <f t="shared" si="41"/>
        <v>1342473.6</v>
      </c>
      <c r="N417" s="5">
        <f t="shared" si="45"/>
        <v>335618.39999999991</v>
      </c>
    </row>
    <row r="418" spans="1:14" x14ac:dyDescent="0.35">
      <c r="A418" t="s">
        <v>454</v>
      </c>
      <c r="B418" s="7">
        <v>45427</v>
      </c>
      <c r="C418" s="2" t="s">
        <v>14</v>
      </c>
      <c r="D418" s="2" t="s">
        <v>22</v>
      </c>
      <c r="E418" s="2" t="s">
        <v>23</v>
      </c>
      <c r="F418" t="s">
        <v>19</v>
      </c>
      <c r="G418" s="2">
        <v>4</v>
      </c>
      <c r="H418" s="3">
        <f t="shared" si="40"/>
        <v>319000</v>
      </c>
      <c r="I418" s="4">
        <f t="shared" si="42"/>
        <v>25520</v>
      </c>
      <c r="J418" s="4">
        <f t="shared" si="43"/>
        <v>9570</v>
      </c>
      <c r="K418" s="4">
        <v>22834</v>
      </c>
      <c r="L418" s="4">
        <f t="shared" si="44"/>
        <v>1507696</v>
      </c>
      <c r="M418" s="4">
        <f t="shared" si="41"/>
        <v>1206156.8</v>
      </c>
      <c r="N418" s="5">
        <f t="shared" si="45"/>
        <v>301539.19999999995</v>
      </c>
    </row>
    <row r="419" spans="1:14" x14ac:dyDescent="0.35">
      <c r="A419" t="s">
        <v>455</v>
      </c>
      <c r="B419" s="7">
        <v>45325</v>
      </c>
      <c r="C419" s="2" t="s">
        <v>14</v>
      </c>
      <c r="D419" s="2" t="s">
        <v>24</v>
      </c>
      <c r="E419" s="2" t="s">
        <v>25</v>
      </c>
      <c r="F419" t="s">
        <v>20</v>
      </c>
      <c r="G419" s="2">
        <v>5</v>
      </c>
      <c r="H419" s="3">
        <f t="shared" si="40"/>
        <v>345000</v>
      </c>
      <c r="I419" s="4">
        <f t="shared" si="42"/>
        <v>27600</v>
      </c>
      <c r="J419" s="4">
        <f t="shared" si="43"/>
        <v>10350</v>
      </c>
      <c r="K419" s="4">
        <v>14620</v>
      </c>
      <c r="L419" s="4">
        <f t="shared" si="44"/>
        <v>1987850</v>
      </c>
      <c r="M419" s="4">
        <f t="shared" si="41"/>
        <v>1590280</v>
      </c>
      <c r="N419" s="5">
        <f t="shared" si="45"/>
        <v>397570</v>
      </c>
    </row>
    <row r="420" spans="1:14" x14ac:dyDescent="0.35">
      <c r="A420" t="s">
        <v>456</v>
      </c>
      <c r="B420" s="7">
        <v>45491</v>
      </c>
      <c r="C420" s="2" t="s">
        <v>15</v>
      </c>
      <c r="D420" s="2" t="s">
        <v>26</v>
      </c>
      <c r="E420" s="2" t="s">
        <v>27</v>
      </c>
      <c r="F420" t="s">
        <v>21</v>
      </c>
      <c r="G420" s="2">
        <v>3</v>
      </c>
      <c r="H420" s="3">
        <f t="shared" si="40"/>
        <v>359000</v>
      </c>
      <c r="I420" s="4">
        <f t="shared" si="42"/>
        <v>28720</v>
      </c>
      <c r="J420" s="4">
        <f t="shared" si="43"/>
        <v>10770</v>
      </c>
      <c r="K420" s="4">
        <v>6448</v>
      </c>
      <c r="L420" s="4">
        <f t="shared" si="44"/>
        <v>1214814</v>
      </c>
      <c r="M420" s="4">
        <f t="shared" si="41"/>
        <v>971851.20000000007</v>
      </c>
      <c r="N420" s="5">
        <f t="shared" si="45"/>
        <v>242962.79999999993</v>
      </c>
    </row>
    <row r="421" spans="1:14" x14ac:dyDescent="0.35">
      <c r="A421" t="s">
        <v>457</v>
      </c>
      <c r="B421" s="7">
        <v>45607</v>
      </c>
      <c r="C421" s="2" t="s">
        <v>15</v>
      </c>
      <c r="D421" s="2" t="s">
        <v>28</v>
      </c>
      <c r="E421" s="2" t="s">
        <v>29</v>
      </c>
      <c r="F421" t="s">
        <v>20</v>
      </c>
      <c r="G421" s="2">
        <v>5</v>
      </c>
      <c r="H421" s="3">
        <f t="shared" si="40"/>
        <v>345000</v>
      </c>
      <c r="I421" s="4">
        <f t="shared" si="42"/>
        <v>27600</v>
      </c>
      <c r="J421" s="4">
        <f t="shared" si="43"/>
        <v>10350</v>
      </c>
      <c r="K421" s="4">
        <v>14979</v>
      </c>
      <c r="L421" s="4">
        <f t="shared" si="44"/>
        <v>1989645</v>
      </c>
      <c r="M421" s="4">
        <f t="shared" si="41"/>
        <v>1591716</v>
      </c>
      <c r="N421" s="5">
        <f t="shared" si="45"/>
        <v>397929</v>
      </c>
    </row>
    <row r="422" spans="1:14" x14ac:dyDescent="0.35">
      <c r="A422" t="s">
        <v>458</v>
      </c>
      <c r="B422" s="7">
        <v>45562</v>
      </c>
      <c r="C422" s="2" t="s">
        <v>16</v>
      </c>
      <c r="D422" s="2" t="s">
        <v>30</v>
      </c>
      <c r="E422" s="2" t="s">
        <v>31</v>
      </c>
      <c r="F422" t="s">
        <v>21</v>
      </c>
      <c r="G422" s="2">
        <v>1</v>
      </c>
      <c r="H422" s="3">
        <f t="shared" si="40"/>
        <v>359000</v>
      </c>
      <c r="I422" s="4">
        <f t="shared" si="42"/>
        <v>28720</v>
      </c>
      <c r="J422" s="4">
        <f t="shared" si="43"/>
        <v>10770</v>
      </c>
      <c r="K422" s="4">
        <v>24595</v>
      </c>
      <c r="L422" s="4">
        <f t="shared" si="44"/>
        <v>423085</v>
      </c>
      <c r="M422" s="4">
        <f t="shared" si="41"/>
        <v>338468</v>
      </c>
      <c r="N422" s="5">
        <f t="shared" si="45"/>
        <v>84617</v>
      </c>
    </row>
    <row r="423" spans="1:14" x14ac:dyDescent="0.35">
      <c r="A423" t="s">
        <v>459</v>
      </c>
      <c r="B423" s="7">
        <v>45506</v>
      </c>
      <c r="C423" s="2" t="s">
        <v>16</v>
      </c>
      <c r="D423" s="2" t="s">
        <v>32</v>
      </c>
      <c r="E423" s="2" t="s">
        <v>33</v>
      </c>
      <c r="F423" t="s">
        <v>19</v>
      </c>
      <c r="G423" s="2">
        <v>2</v>
      </c>
      <c r="H423" s="3">
        <f t="shared" si="40"/>
        <v>319000</v>
      </c>
      <c r="I423" s="4">
        <f t="shared" si="42"/>
        <v>25520</v>
      </c>
      <c r="J423" s="4">
        <f t="shared" si="43"/>
        <v>9570</v>
      </c>
      <c r="K423" s="4">
        <v>9120</v>
      </c>
      <c r="L423" s="4">
        <f t="shared" si="44"/>
        <v>726420</v>
      </c>
      <c r="M423" s="4">
        <f t="shared" si="41"/>
        <v>581136</v>
      </c>
      <c r="N423" s="5">
        <f t="shared" si="45"/>
        <v>145284</v>
      </c>
    </row>
    <row r="424" spans="1:14" x14ac:dyDescent="0.35">
      <c r="A424" t="s">
        <v>460</v>
      </c>
      <c r="B424" s="7">
        <v>45499</v>
      </c>
      <c r="C424" s="2" t="s">
        <v>17</v>
      </c>
      <c r="D424" s="2" t="s">
        <v>34</v>
      </c>
      <c r="E424" s="2" t="s">
        <v>35</v>
      </c>
      <c r="F424" t="s">
        <v>21</v>
      </c>
      <c r="G424" s="2">
        <v>4</v>
      </c>
      <c r="H424" s="3">
        <f t="shared" si="40"/>
        <v>359000</v>
      </c>
      <c r="I424" s="4">
        <f t="shared" si="42"/>
        <v>28720</v>
      </c>
      <c r="J424" s="4">
        <f t="shared" si="43"/>
        <v>10770</v>
      </c>
      <c r="K424" s="4">
        <v>13505</v>
      </c>
      <c r="L424" s="4">
        <f t="shared" si="44"/>
        <v>1647980</v>
      </c>
      <c r="M424" s="4">
        <f t="shared" si="41"/>
        <v>1318384</v>
      </c>
      <c r="N424" s="5">
        <f t="shared" si="45"/>
        <v>329596</v>
      </c>
    </row>
    <row r="425" spans="1:14" x14ac:dyDescent="0.35">
      <c r="A425" t="s">
        <v>461</v>
      </c>
      <c r="B425" s="7">
        <v>45586</v>
      </c>
      <c r="C425" s="2" t="s">
        <v>18</v>
      </c>
      <c r="D425" s="2" t="s">
        <v>36</v>
      </c>
      <c r="E425" s="2" t="s">
        <v>37</v>
      </c>
      <c r="F425" t="s">
        <v>21</v>
      </c>
      <c r="G425" s="2">
        <v>1</v>
      </c>
      <c r="H425" s="3">
        <f t="shared" si="40"/>
        <v>359000</v>
      </c>
      <c r="I425" s="4">
        <f t="shared" si="42"/>
        <v>28720</v>
      </c>
      <c r="J425" s="4">
        <f t="shared" si="43"/>
        <v>10770</v>
      </c>
      <c r="K425" s="4">
        <v>9350</v>
      </c>
      <c r="L425" s="4">
        <f t="shared" si="44"/>
        <v>407840</v>
      </c>
      <c r="M425" s="4">
        <f t="shared" si="41"/>
        <v>326272</v>
      </c>
      <c r="N425" s="5">
        <f t="shared" si="45"/>
        <v>81568</v>
      </c>
    </row>
    <row r="426" spans="1:14" x14ac:dyDescent="0.35">
      <c r="A426" t="s">
        <v>462</v>
      </c>
      <c r="B426" s="7">
        <v>45297</v>
      </c>
      <c r="C426" s="2" t="s">
        <v>14</v>
      </c>
      <c r="D426" s="2" t="s">
        <v>22</v>
      </c>
      <c r="E426" s="2" t="s">
        <v>23</v>
      </c>
      <c r="F426" t="s">
        <v>19</v>
      </c>
      <c r="G426" s="2">
        <v>5</v>
      </c>
      <c r="H426" s="3">
        <f t="shared" si="40"/>
        <v>319000</v>
      </c>
      <c r="I426" s="4">
        <f t="shared" si="42"/>
        <v>25520</v>
      </c>
      <c r="J426" s="4">
        <f t="shared" si="43"/>
        <v>9570</v>
      </c>
      <c r="K426" s="4">
        <v>16316</v>
      </c>
      <c r="L426" s="4">
        <f t="shared" si="44"/>
        <v>1852030</v>
      </c>
      <c r="M426" s="4">
        <f t="shared" si="41"/>
        <v>1481624</v>
      </c>
      <c r="N426" s="5">
        <f t="shared" si="45"/>
        <v>370406</v>
      </c>
    </row>
    <row r="427" spans="1:14" x14ac:dyDescent="0.35">
      <c r="A427" t="s">
        <v>463</v>
      </c>
      <c r="B427" s="7">
        <v>45353</v>
      </c>
      <c r="C427" s="2" t="s">
        <v>14</v>
      </c>
      <c r="D427" s="2" t="s">
        <v>24</v>
      </c>
      <c r="E427" s="2" t="s">
        <v>25</v>
      </c>
      <c r="F427" t="s">
        <v>20</v>
      </c>
      <c r="G427" s="2">
        <v>2</v>
      </c>
      <c r="H427" s="3">
        <f t="shared" si="40"/>
        <v>345000</v>
      </c>
      <c r="I427" s="4">
        <f t="shared" si="42"/>
        <v>27600</v>
      </c>
      <c r="J427" s="4">
        <f t="shared" si="43"/>
        <v>10350</v>
      </c>
      <c r="K427" s="4">
        <v>19601</v>
      </c>
      <c r="L427" s="4">
        <f t="shared" si="44"/>
        <v>805102</v>
      </c>
      <c r="M427" s="4">
        <f t="shared" si="41"/>
        <v>644081.60000000009</v>
      </c>
      <c r="N427" s="5">
        <f t="shared" si="45"/>
        <v>161020.39999999991</v>
      </c>
    </row>
    <row r="428" spans="1:14" x14ac:dyDescent="0.35">
      <c r="A428" t="s">
        <v>464</v>
      </c>
      <c r="B428" s="7">
        <v>45458</v>
      </c>
      <c r="C428" s="2" t="s">
        <v>15</v>
      </c>
      <c r="D428" s="2" t="s">
        <v>26</v>
      </c>
      <c r="E428" s="2" t="s">
        <v>27</v>
      </c>
      <c r="F428" t="s">
        <v>21</v>
      </c>
      <c r="G428" s="2">
        <v>4</v>
      </c>
      <c r="H428" s="3">
        <f t="shared" si="40"/>
        <v>359000</v>
      </c>
      <c r="I428" s="4">
        <f t="shared" si="42"/>
        <v>28720</v>
      </c>
      <c r="J428" s="4">
        <f t="shared" si="43"/>
        <v>10770</v>
      </c>
      <c r="K428" s="4">
        <v>13099</v>
      </c>
      <c r="L428" s="4">
        <f t="shared" si="44"/>
        <v>1646356</v>
      </c>
      <c r="M428" s="4">
        <f t="shared" si="41"/>
        <v>1317084.8</v>
      </c>
      <c r="N428" s="5">
        <f t="shared" si="45"/>
        <v>329271.19999999995</v>
      </c>
    </row>
    <row r="429" spans="1:14" x14ac:dyDescent="0.35">
      <c r="A429" t="s">
        <v>465</v>
      </c>
      <c r="B429" s="7">
        <v>45466</v>
      </c>
      <c r="C429" s="2" t="s">
        <v>15</v>
      </c>
      <c r="D429" s="2" t="s">
        <v>28</v>
      </c>
      <c r="E429" s="2" t="s">
        <v>29</v>
      </c>
      <c r="F429" t="s">
        <v>20</v>
      </c>
      <c r="G429" s="2">
        <v>1</v>
      </c>
      <c r="H429" s="3">
        <f t="shared" si="40"/>
        <v>345000</v>
      </c>
      <c r="I429" s="4">
        <f t="shared" si="42"/>
        <v>27600</v>
      </c>
      <c r="J429" s="4">
        <f t="shared" si="43"/>
        <v>10350</v>
      </c>
      <c r="K429" s="4">
        <v>16216</v>
      </c>
      <c r="L429" s="4">
        <f t="shared" si="44"/>
        <v>399166</v>
      </c>
      <c r="M429" s="4">
        <f t="shared" si="41"/>
        <v>319332.80000000005</v>
      </c>
      <c r="N429" s="5">
        <f t="shared" si="45"/>
        <v>79833.199999999953</v>
      </c>
    </row>
    <row r="430" spans="1:14" x14ac:dyDescent="0.35">
      <c r="A430" t="s">
        <v>466</v>
      </c>
      <c r="B430" s="7">
        <v>45413</v>
      </c>
      <c r="C430" s="2" t="s">
        <v>16</v>
      </c>
      <c r="D430" s="2" t="s">
        <v>30</v>
      </c>
      <c r="E430" s="2" t="s">
        <v>31</v>
      </c>
      <c r="F430" t="s">
        <v>21</v>
      </c>
      <c r="G430" s="2">
        <v>1</v>
      </c>
      <c r="H430" s="3">
        <f t="shared" si="40"/>
        <v>359000</v>
      </c>
      <c r="I430" s="4">
        <f t="shared" si="42"/>
        <v>28720</v>
      </c>
      <c r="J430" s="4">
        <f t="shared" si="43"/>
        <v>10770</v>
      </c>
      <c r="K430" s="4">
        <v>15617</v>
      </c>
      <c r="L430" s="4">
        <f t="shared" si="44"/>
        <v>414107</v>
      </c>
      <c r="M430" s="4">
        <f t="shared" si="41"/>
        <v>331285.60000000003</v>
      </c>
      <c r="N430" s="5">
        <f t="shared" si="45"/>
        <v>82821.399999999965</v>
      </c>
    </row>
    <row r="431" spans="1:14" x14ac:dyDescent="0.35">
      <c r="A431" t="s">
        <v>467</v>
      </c>
      <c r="B431" s="7">
        <v>45362</v>
      </c>
      <c r="C431" s="2" t="s">
        <v>16</v>
      </c>
      <c r="D431" s="2" t="s">
        <v>32</v>
      </c>
      <c r="E431" s="2" t="s">
        <v>33</v>
      </c>
      <c r="F431" t="s">
        <v>19</v>
      </c>
      <c r="G431" s="2">
        <v>1</v>
      </c>
      <c r="H431" s="3">
        <f t="shared" si="40"/>
        <v>319000</v>
      </c>
      <c r="I431" s="4">
        <f t="shared" si="42"/>
        <v>25520</v>
      </c>
      <c r="J431" s="4">
        <f t="shared" si="43"/>
        <v>9570</v>
      </c>
      <c r="K431" s="4">
        <v>13512</v>
      </c>
      <c r="L431" s="4">
        <f t="shared" si="44"/>
        <v>367602</v>
      </c>
      <c r="M431" s="4">
        <f t="shared" si="41"/>
        <v>294081.60000000003</v>
      </c>
      <c r="N431" s="5">
        <f t="shared" si="45"/>
        <v>73520.399999999965</v>
      </c>
    </row>
    <row r="432" spans="1:14" x14ac:dyDescent="0.35">
      <c r="A432" t="s">
        <v>468</v>
      </c>
      <c r="B432" s="7">
        <v>45310</v>
      </c>
      <c r="C432" s="2" t="s">
        <v>17</v>
      </c>
      <c r="D432" s="2" t="s">
        <v>34</v>
      </c>
      <c r="E432" s="2" t="s">
        <v>35</v>
      </c>
      <c r="F432" t="s">
        <v>21</v>
      </c>
      <c r="G432" s="2">
        <v>1</v>
      </c>
      <c r="H432" s="3">
        <f t="shared" si="40"/>
        <v>359000</v>
      </c>
      <c r="I432" s="4">
        <f t="shared" si="42"/>
        <v>28720</v>
      </c>
      <c r="J432" s="4">
        <f t="shared" si="43"/>
        <v>10770</v>
      </c>
      <c r="K432" s="4">
        <v>16588</v>
      </c>
      <c r="L432" s="4">
        <f t="shared" si="44"/>
        <v>415078</v>
      </c>
      <c r="M432" s="4">
        <f t="shared" si="41"/>
        <v>332062.40000000002</v>
      </c>
      <c r="N432" s="5">
        <f t="shared" si="45"/>
        <v>83015.599999999977</v>
      </c>
    </row>
    <row r="433" spans="1:14" x14ac:dyDescent="0.35">
      <c r="A433" t="s">
        <v>469</v>
      </c>
      <c r="B433" s="7">
        <v>45620</v>
      </c>
      <c r="C433" s="2" t="s">
        <v>18</v>
      </c>
      <c r="D433" s="2" t="s">
        <v>36</v>
      </c>
      <c r="E433" s="2" t="s">
        <v>37</v>
      </c>
      <c r="F433" t="s">
        <v>21</v>
      </c>
      <c r="G433" s="2">
        <v>4</v>
      </c>
      <c r="H433" s="3">
        <f t="shared" si="40"/>
        <v>359000</v>
      </c>
      <c r="I433" s="4">
        <f t="shared" si="42"/>
        <v>28720</v>
      </c>
      <c r="J433" s="4">
        <f t="shared" si="43"/>
        <v>10770</v>
      </c>
      <c r="K433" s="4">
        <v>22688</v>
      </c>
      <c r="L433" s="4">
        <f t="shared" si="44"/>
        <v>1684712</v>
      </c>
      <c r="M433" s="4">
        <f t="shared" si="41"/>
        <v>1347769.6</v>
      </c>
      <c r="N433" s="5">
        <f t="shared" si="45"/>
        <v>336942.39999999991</v>
      </c>
    </row>
    <row r="434" spans="1:14" x14ac:dyDescent="0.35">
      <c r="A434" t="s">
        <v>470</v>
      </c>
      <c r="B434" s="7">
        <v>45404</v>
      </c>
      <c r="C434" s="2" t="s">
        <v>14</v>
      </c>
      <c r="D434" s="2" t="s">
        <v>22</v>
      </c>
      <c r="E434" s="2" t="s">
        <v>23</v>
      </c>
      <c r="F434" t="s">
        <v>19</v>
      </c>
      <c r="G434" s="2">
        <v>5</v>
      </c>
      <c r="H434" s="3">
        <f t="shared" si="40"/>
        <v>319000</v>
      </c>
      <c r="I434" s="4">
        <f t="shared" si="42"/>
        <v>25520</v>
      </c>
      <c r="J434" s="4">
        <f t="shared" si="43"/>
        <v>9570</v>
      </c>
      <c r="K434" s="4">
        <v>21258</v>
      </c>
      <c r="L434" s="4">
        <f t="shared" si="44"/>
        <v>1876740</v>
      </c>
      <c r="M434" s="4">
        <f t="shared" si="41"/>
        <v>1501392</v>
      </c>
      <c r="N434" s="5">
        <f t="shared" si="45"/>
        <v>375348</v>
      </c>
    </row>
    <row r="435" spans="1:14" x14ac:dyDescent="0.35">
      <c r="A435" t="s">
        <v>471</v>
      </c>
      <c r="B435" s="7">
        <v>45541</v>
      </c>
      <c r="C435" s="2" t="s">
        <v>14</v>
      </c>
      <c r="D435" s="2" t="s">
        <v>24</v>
      </c>
      <c r="E435" s="2" t="s">
        <v>25</v>
      </c>
      <c r="F435" t="s">
        <v>20</v>
      </c>
      <c r="G435" s="2">
        <v>3</v>
      </c>
      <c r="H435" s="3">
        <f t="shared" si="40"/>
        <v>345000</v>
      </c>
      <c r="I435" s="4">
        <f t="shared" si="42"/>
        <v>27600</v>
      </c>
      <c r="J435" s="4">
        <f t="shared" si="43"/>
        <v>10350</v>
      </c>
      <c r="K435" s="4">
        <v>24535</v>
      </c>
      <c r="L435" s="4">
        <f t="shared" si="44"/>
        <v>1222455</v>
      </c>
      <c r="M435" s="4">
        <f t="shared" si="41"/>
        <v>977964</v>
      </c>
      <c r="N435" s="5">
        <f t="shared" si="45"/>
        <v>244491</v>
      </c>
    </row>
    <row r="436" spans="1:14" x14ac:dyDescent="0.35">
      <c r="A436" t="s">
        <v>472</v>
      </c>
      <c r="B436" s="7">
        <v>45340</v>
      </c>
      <c r="C436" s="2" t="s">
        <v>15</v>
      </c>
      <c r="D436" s="2" t="s">
        <v>26</v>
      </c>
      <c r="E436" s="2" t="s">
        <v>27</v>
      </c>
      <c r="F436" t="s">
        <v>21</v>
      </c>
      <c r="G436" s="2">
        <v>2</v>
      </c>
      <c r="H436" s="3">
        <f t="shared" si="40"/>
        <v>359000</v>
      </c>
      <c r="I436" s="4">
        <f t="shared" si="42"/>
        <v>28720</v>
      </c>
      <c r="J436" s="4">
        <f t="shared" si="43"/>
        <v>10770</v>
      </c>
      <c r="K436" s="4">
        <v>16141</v>
      </c>
      <c r="L436" s="4">
        <f t="shared" si="44"/>
        <v>829262</v>
      </c>
      <c r="M436" s="4">
        <f t="shared" si="41"/>
        <v>663409.60000000009</v>
      </c>
      <c r="N436" s="5">
        <f t="shared" si="45"/>
        <v>165852.39999999991</v>
      </c>
    </row>
    <row r="437" spans="1:14" x14ac:dyDescent="0.35">
      <c r="A437" t="s">
        <v>473</v>
      </c>
      <c r="B437" s="7">
        <v>45651</v>
      </c>
      <c r="C437" s="2" t="s">
        <v>15</v>
      </c>
      <c r="D437" s="2" t="s">
        <v>28</v>
      </c>
      <c r="E437" s="2" t="s">
        <v>29</v>
      </c>
      <c r="F437" t="s">
        <v>20</v>
      </c>
      <c r="G437" s="2">
        <v>5</v>
      </c>
      <c r="H437" s="3">
        <f t="shared" si="40"/>
        <v>345000</v>
      </c>
      <c r="I437" s="4">
        <f t="shared" si="42"/>
        <v>27600</v>
      </c>
      <c r="J437" s="4">
        <f t="shared" si="43"/>
        <v>10350</v>
      </c>
      <c r="K437" s="4">
        <v>17402</v>
      </c>
      <c r="L437" s="4">
        <f t="shared" si="44"/>
        <v>2001760</v>
      </c>
      <c r="M437" s="4">
        <f t="shared" si="41"/>
        <v>1601408</v>
      </c>
      <c r="N437" s="5">
        <f t="shared" si="45"/>
        <v>400352</v>
      </c>
    </row>
    <row r="438" spans="1:14" x14ac:dyDescent="0.35">
      <c r="A438" t="s">
        <v>474</v>
      </c>
      <c r="B438" s="7">
        <v>45611</v>
      </c>
      <c r="C438" s="2" t="s">
        <v>16</v>
      </c>
      <c r="D438" s="2" t="s">
        <v>30</v>
      </c>
      <c r="E438" s="2" t="s">
        <v>31</v>
      </c>
      <c r="F438" t="s">
        <v>21</v>
      </c>
      <c r="G438" s="2">
        <v>2</v>
      </c>
      <c r="H438" s="3">
        <f t="shared" si="40"/>
        <v>359000</v>
      </c>
      <c r="I438" s="4">
        <f t="shared" si="42"/>
        <v>28720</v>
      </c>
      <c r="J438" s="4">
        <f t="shared" si="43"/>
        <v>10770</v>
      </c>
      <c r="K438" s="4">
        <v>6355</v>
      </c>
      <c r="L438" s="4">
        <f t="shared" si="44"/>
        <v>809690</v>
      </c>
      <c r="M438" s="4">
        <f t="shared" si="41"/>
        <v>647752</v>
      </c>
      <c r="N438" s="5">
        <f t="shared" si="45"/>
        <v>161938</v>
      </c>
    </row>
    <row r="439" spans="1:14" x14ac:dyDescent="0.35">
      <c r="A439" t="s">
        <v>475</v>
      </c>
      <c r="B439" s="7">
        <v>45481</v>
      </c>
      <c r="C439" s="2" t="s">
        <v>16</v>
      </c>
      <c r="D439" s="2" t="s">
        <v>32</v>
      </c>
      <c r="E439" s="2" t="s">
        <v>33</v>
      </c>
      <c r="F439" t="s">
        <v>19</v>
      </c>
      <c r="G439" s="2">
        <v>1</v>
      </c>
      <c r="H439" s="3">
        <f t="shared" si="40"/>
        <v>319000</v>
      </c>
      <c r="I439" s="4">
        <f t="shared" si="42"/>
        <v>25520</v>
      </c>
      <c r="J439" s="4">
        <f t="shared" si="43"/>
        <v>9570</v>
      </c>
      <c r="K439" s="4">
        <v>11084</v>
      </c>
      <c r="L439" s="4">
        <f t="shared" si="44"/>
        <v>365174</v>
      </c>
      <c r="M439" s="4">
        <f t="shared" si="41"/>
        <v>292139.2</v>
      </c>
      <c r="N439" s="5">
        <f t="shared" si="45"/>
        <v>73034.799999999988</v>
      </c>
    </row>
    <row r="440" spans="1:14" x14ac:dyDescent="0.35">
      <c r="A440" t="s">
        <v>476</v>
      </c>
      <c r="B440" s="7">
        <v>45639</v>
      </c>
      <c r="C440" s="2" t="s">
        <v>17</v>
      </c>
      <c r="D440" s="2" t="s">
        <v>34</v>
      </c>
      <c r="E440" s="2" t="s">
        <v>35</v>
      </c>
      <c r="F440" t="s">
        <v>21</v>
      </c>
      <c r="G440" s="2">
        <v>1</v>
      </c>
      <c r="H440" s="3">
        <f t="shared" si="40"/>
        <v>359000</v>
      </c>
      <c r="I440" s="4">
        <f t="shared" si="42"/>
        <v>28720</v>
      </c>
      <c r="J440" s="4">
        <f t="shared" si="43"/>
        <v>10770</v>
      </c>
      <c r="K440" s="4">
        <v>12810</v>
      </c>
      <c r="L440" s="4">
        <f t="shared" si="44"/>
        <v>411300</v>
      </c>
      <c r="M440" s="4">
        <f t="shared" si="41"/>
        <v>329040</v>
      </c>
      <c r="N440" s="5">
        <f t="shared" si="45"/>
        <v>82260</v>
      </c>
    </row>
    <row r="441" spans="1:14" x14ac:dyDescent="0.35">
      <c r="A441" t="s">
        <v>477</v>
      </c>
      <c r="B441" s="7">
        <v>45576</v>
      </c>
      <c r="C441" s="2" t="s">
        <v>18</v>
      </c>
      <c r="D441" s="2" t="s">
        <v>36</v>
      </c>
      <c r="E441" s="2" t="s">
        <v>37</v>
      </c>
      <c r="F441" t="s">
        <v>21</v>
      </c>
      <c r="G441" s="2">
        <v>2</v>
      </c>
      <c r="H441" s="3">
        <f t="shared" si="40"/>
        <v>359000</v>
      </c>
      <c r="I441" s="4">
        <f t="shared" si="42"/>
        <v>28720</v>
      </c>
      <c r="J441" s="4">
        <f t="shared" si="43"/>
        <v>10770</v>
      </c>
      <c r="K441" s="4">
        <v>12042</v>
      </c>
      <c r="L441" s="4">
        <f t="shared" si="44"/>
        <v>821064</v>
      </c>
      <c r="M441" s="4">
        <f t="shared" si="41"/>
        <v>656851.20000000007</v>
      </c>
      <c r="N441" s="5">
        <f t="shared" si="45"/>
        <v>164212.79999999993</v>
      </c>
    </row>
    <row r="442" spans="1:14" x14ac:dyDescent="0.35">
      <c r="A442" t="s">
        <v>478</v>
      </c>
      <c r="B442" s="7">
        <v>45434</v>
      </c>
      <c r="C442" s="2" t="s">
        <v>14</v>
      </c>
      <c r="D442" s="2" t="s">
        <v>22</v>
      </c>
      <c r="E442" s="2" t="s">
        <v>23</v>
      </c>
      <c r="F442" t="s">
        <v>19</v>
      </c>
      <c r="G442" s="2">
        <v>3</v>
      </c>
      <c r="H442" s="3">
        <f t="shared" si="40"/>
        <v>319000</v>
      </c>
      <c r="I442" s="4">
        <f t="shared" si="42"/>
        <v>25520</v>
      </c>
      <c r="J442" s="4">
        <f t="shared" si="43"/>
        <v>9570</v>
      </c>
      <c r="K442" s="4">
        <v>15400</v>
      </c>
      <c r="L442" s="4">
        <f t="shared" si="44"/>
        <v>1108470</v>
      </c>
      <c r="M442" s="4">
        <f t="shared" si="41"/>
        <v>886776</v>
      </c>
      <c r="N442" s="5">
        <f t="shared" si="45"/>
        <v>221694</v>
      </c>
    </row>
    <row r="443" spans="1:14" x14ac:dyDescent="0.35">
      <c r="A443" t="s">
        <v>479</v>
      </c>
      <c r="B443" s="7">
        <v>45637</v>
      </c>
      <c r="C443" s="2" t="s">
        <v>14</v>
      </c>
      <c r="D443" s="2" t="s">
        <v>24</v>
      </c>
      <c r="E443" s="2" t="s">
        <v>25</v>
      </c>
      <c r="F443" t="s">
        <v>20</v>
      </c>
      <c r="G443" s="2">
        <v>5</v>
      </c>
      <c r="H443" s="3">
        <f t="shared" si="40"/>
        <v>345000</v>
      </c>
      <c r="I443" s="4">
        <f t="shared" si="42"/>
        <v>27600</v>
      </c>
      <c r="J443" s="4">
        <f t="shared" si="43"/>
        <v>10350</v>
      </c>
      <c r="K443" s="4">
        <v>22624</v>
      </c>
      <c r="L443" s="4">
        <f t="shared" si="44"/>
        <v>2027870</v>
      </c>
      <c r="M443" s="4">
        <f t="shared" si="41"/>
        <v>1622296</v>
      </c>
      <c r="N443" s="5">
        <f t="shared" si="45"/>
        <v>405574</v>
      </c>
    </row>
    <row r="444" spans="1:14" x14ac:dyDescent="0.35">
      <c r="A444" t="s">
        <v>480</v>
      </c>
      <c r="B444" s="7">
        <v>45615</v>
      </c>
      <c r="C444" s="2" t="s">
        <v>15</v>
      </c>
      <c r="D444" s="2" t="s">
        <v>26</v>
      </c>
      <c r="E444" s="2" t="s">
        <v>27</v>
      </c>
      <c r="F444" t="s">
        <v>21</v>
      </c>
      <c r="G444" s="2">
        <v>4</v>
      </c>
      <c r="H444" s="3">
        <f t="shared" si="40"/>
        <v>359000</v>
      </c>
      <c r="I444" s="4">
        <f t="shared" si="42"/>
        <v>28720</v>
      </c>
      <c r="J444" s="4">
        <f t="shared" si="43"/>
        <v>10770</v>
      </c>
      <c r="K444" s="4">
        <v>11069</v>
      </c>
      <c r="L444" s="4">
        <f t="shared" si="44"/>
        <v>1638236</v>
      </c>
      <c r="M444" s="4">
        <f t="shared" si="41"/>
        <v>1310588.8</v>
      </c>
      <c r="N444" s="5">
        <f t="shared" si="45"/>
        <v>327647.19999999995</v>
      </c>
    </row>
    <row r="445" spans="1:14" x14ac:dyDescent="0.35">
      <c r="A445" t="s">
        <v>481</v>
      </c>
      <c r="B445" s="7">
        <v>45608</v>
      </c>
      <c r="C445" s="2" t="s">
        <v>15</v>
      </c>
      <c r="D445" s="2" t="s">
        <v>28</v>
      </c>
      <c r="E445" s="2" t="s">
        <v>29</v>
      </c>
      <c r="F445" t="s">
        <v>20</v>
      </c>
      <c r="G445" s="2">
        <v>4</v>
      </c>
      <c r="H445" s="3">
        <f t="shared" si="40"/>
        <v>345000</v>
      </c>
      <c r="I445" s="4">
        <f t="shared" si="42"/>
        <v>27600</v>
      </c>
      <c r="J445" s="4">
        <f t="shared" si="43"/>
        <v>10350</v>
      </c>
      <c r="K445" s="4">
        <v>24500</v>
      </c>
      <c r="L445" s="4">
        <f t="shared" si="44"/>
        <v>1629800</v>
      </c>
      <c r="M445" s="4">
        <f t="shared" si="41"/>
        <v>1303840</v>
      </c>
      <c r="N445" s="5">
        <f t="shared" si="45"/>
        <v>325960</v>
      </c>
    </row>
    <row r="446" spans="1:14" x14ac:dyDescent="0.35">
      <c r="A446" t="s">
        <v>482</v>
      </c>
      <c r="B446" s="7">
        <v>45395</v>
      </c>
      <c r="C446" s="2" t="s">
        <v>16</v>
      </c>
      <c r="D446" s="2" t="s">
        <v>30</v>
      </c>
      <c r="E446" s="2" t="s">
        <v>31</v>
      </c>
      <c r="F446" t="s">
        <v>21</v>
      </c>
      <c r="G446" s="2">
        <v>2</v>
      </c>
      <c r="H446" s="3">
        <f t="shared" si="40"/>
        <v>359000</v>
      </c>
      <c r="I446" s="4">
        <f t="shared" si="42"/>
        <v>28720</v>
      </c>
      <c r="J446" s="4">
        <f t="shared" si="43"/>
        <v>10770</v>
      </c>
      <c r="K446" s="4">
        <v>13139</v>
      </c>
      <c r="L446" s="4">
        <f t="shared" si="44"/>
        <v>823258</v>
      </c>
      <c r="M446" s="4">
        <f t="shared" si="41"/>
        <v>658606.4</v>
      </c>
      <c r="N446" s="5">
        <f t="shared" si="45"/>
        <v>164651.59999999998</v>
      </c>
    </row>
    <row r="447" spans="1:14" x14ac:dyDescent="0.35">
      <c r="A447" t="s">
        <v>483</v>
      </c>
      <c r="B447" s="7">
        <v>45583</v>
      </c>
      <c r="C447" s="2" t="s">
        <v>16</v>
      </c>
      <c r="D447" s="2" t="s">
        <v>32</v>
      </c>
      <c r="E447" s="2" t="s">
        <v>33</v>
      </c>
      <c r="F447" t="s">
        <v>19</v>
      </c>
      <c r="G447" s="2">
        <v>3</v>
      </c>
      <c r="H447" s="3">
        <f t="shared" si="40"/>
        <v>319000</v>
      </c>
      <c r="I447" s="4">
        <f t="shared" si="42"/>
        <v>25520</v>
      </c>
      <c r="J447" s="4">
        <f t="shared" si="43"/>
        <v>9570</v>
      </c>
      <c r="K447" s="4">
        <v>7325</v>
      </c>
      <c r="L447" s="4">
        <f t="shared" si="44"/>
        <v>1084245</v>
      </c>
      <c r="M447" s="4">
        <f t="shared" si="41"/>
        <v>867396</v>
      </c>
      <c r="N447" s="5">
        <f t="shared" si="45"/>
        <v>216849</v>
      </c>
    </row>
    <row r="448" spans="1:14" x14ac:dyDescent="0.35">
      <c r="A448" t="s">
        <v>484</v>
      </c>
      <c r="B448" s="7">
        <v>45518</v>
      </c>
      <c r="C448" s="2" t="s">
        <v>17</v>
      </c>
      <c r="D448" s="2" t="s">
        <v>34</v>
      </c>
      <c r="E448" s="2" t="s">
        <v>35</v>
      </c>
      <c r="F448" t="s">
        <v>21</v>
      </c>
      <c r="G448" s="2">
        <v>5</v>
      </c>
      <c r="H448" s="3">
        <f t="shared" si="40"/>
        <v>359000</v>
      </c>
      <c r="I448" s="4">
        <f t="shared" si="42"/>
        <v>28720</v>
      </c>
      <c r="J448" s="4">
        <f t="shared" si="43"/>
        <v>10770</v>
      </c>
      <c r="K448" s="4">
        <v>9086</v>
      </c>
      <c r="L448" s="4">
        <f t="shared" si="44"/>
        <v>2037880</v>
      </c>
      <c r="M448" s="4">
        <f t="shared" si="41"/>
        <v>1630304</v>
      </c>
      <c r="N448" s="5">
        <f t="shared" si="45"/>
        <v>407576</v>
      </c>
    </row>
    <row r="449" spans="1:14" x14ac:dyDescent="0.35">
      <c r="A449" t="s">
        <v>485</v>
      </c>
      <c r="B449" s="7">
        <v>45543</v>
      </c>
      <c r="C449" s="2" t="s">
        <v>18</v>
      </c>
      <c r="D449" s="2" t="s">
        <v>36</v>
      </c>
      <c r="E449" s="2" t="s">
        <v>37</v>
      </c>
      <c r="F449" t="s">
        <v>21</v>
      </c>
      <c r="G449" s="2">
        <v>1</v>
      </c>
      <c r="H449" s="3">
        <f t="shared" si="40"/>
        <v>359000</v>
      </c>
      <c r="I449" s="4">
        <f t="shared" si="42"/>
        <v>28720</v>
      </c>
      <c r="J449" s="4">
        <f t="shared" si="43"/>
        <v>10770</v>
      </c>
      <c r="K449" s="4">
        <v>17784</v>
      </c>
      <c r="L449" s="4">
        <f t="shared" si="44"/>
        <v>416274</v>
      </c>
      <c r="M449" s="4">
        <f t="shared" si="41"/>
        <v>333019.2</v>
      </c>
      <c r="N449" s="5">
        <f t="shared" si="45"/>
        <v>83254.799999999988</v>
      </c>
    </row>
    <row r="450" spans="1:14" x14ac:dyDescent="0.35">
      <c r="A450" t="s">
        <v>486</v>
      </c>
      <c r="B450" s="7">
        <v>45319</v>
      </c>
      <c r="C450" s="2" t="s">
        <v>14</v>
      </c>
      <c r="D450" s="2" t="s">
        <v>22</v>
      </c>
      <c r="E450" s="2" t="s">
        <v>23</v>
      </c>
      <c r="F450" t="s">
        <v>19</v>
      </c>
      <c r="G450" s="2">
        <v>1</v>
      </c>
      <c r="H450" s="3">
        <f t="shared" ref="H450:H500" si="46">IF(TRIM(F450)="Standard",319000,IF(TRIM(F450)="Custom",345000,IF(TRIM(F450)="Chrome",359000,"")))</f>
        <v>319000</v>
      </c>
      <c r="I450" s="4">
        <f t="shared" si="42"/>
        <v>25520</v>
      </c>
      <c r="J450" s="4">
        <f t="shared" si="43"/>
        <v>9570</v>
      </c>
      <c r="K450" s="4">
        <v>6311</v>
      </c>
      <c r="L450" s="4">
        <f t="shared" si="44"/>
        <v>360401</v>
      </c>
      <c r="M450" s="4">
        <f t="shared" si="41"/>
        <v>288320.8</v>
      </c>
      <c r="N450" s="5">
        <f t="shared" si="45"/>
        <v>72080.200000000012</v>
      </c>
    </row>
    <row r="451" spans="1:14" x14ac:dyDescent="0.35">
      <c r="A451" t="s">
        <v>487</v>
      </c>
      <c r="B451" s="7">
        <v>45422</v>
      </c>
      <c r="C451" s="2" t="s">
        <v>14</v>
      </c>
      <c r="D451" s="2" t="s">
        <v>24</v>
      </c>
      <c r="E451" s="2" t="s">
        <v>25</v>
      </c>
      <c r="F451" t="s">
        <v>20</v>
      </c>
      <c r="G451" s="2">
        <v>4</v>
      </c>
      <c r="H451" s="3">
        <f t="shared" si="46"/>
        <v>345000</v>
      </c>
      <c r="I451" s="4">
        <f t="shared" si="42"/>
        <v>27600</v>
      </c>
      <c r="J451" s="4">
        <f t="shared" si="43"/>
        <v>10350</v>
      </c>
      <c r="K451" s="4">
        <v>17464</v>
      </c>
      <c r="L451" s="4">
        <f t="shared" si="44"/>
        <v>1601656</v>
      </c>
      <c r="M451" s="4">
        <f t="shared" ref="M451:M500" si="47">L451*0.8</f>
        <v>1281324.8</v>
      </c>
      <c r="N451" s="5">
        <f t="shared" si="45"/>
        <v>320331.19999999995</v>
      </c>
    </row>
    <row r="452" spans="1:14" x14ac:dyDescent="0.35">
      <c r="A452" t="s">
        <v>488</v>
      </c>
      <c r="B452" s="7">
        <v>45337</v>
      </c>
      <c r="C452" s="2" t="s">
        <v>15</v>
      </c>
      <c r="D452" s="2" t="s">
        <v>26</v>
      </c>
      <c r="E452" s="2" t="s">
        <v>27</v>
      </c>
      <c r="F452" t="s">
        <v>21</v>
      </c>
      <c r="G452" s="2">
        <v>5</v>
      </c>
      <c r="H452" s="3">
        <f t="shared" si="46"/>
        <v>359000</v>
      </c>
      <c r="I452" s="4">
        <f t="shared" si="42"/>
        <v>28720</v>
      </c>
      <c r="J452" s="4">
        <f t="shared" si="43"/>
        <v>10770</v>
      </c>
      <c r="K452" s="4">
        <v>7518</v>
      </c>
      <c r="L452" s="4">
        <f t="shared" si="44"/>
        <v>2030040</v>
      </c>
      <c r="M452" s="4">
        <f t="shared" si="47"/>
        <v>1624032</v>
      </c>
      <c r="N452" s="5">
        <f t="shared" si="45"/>
        <v>406008</v>
      </c>
    </row>
    <row r="453" spans="1:14" x14ac:dyDescent="0.35">
      <c r="A453" t="s">
        <v>489</v>
      </c>
      <c r="B453" s="7">
        <v>45294</v>
      </c>
      <c r="C453" s="2" t="s">
        <v>15</v>
      </c>
      <c r="D453" s="2" t="s">
        <v>28</v>
      </c>
      <c r="E453" s="2" t="s">
        <v>29</v>
      </c>
      <c r="F453" t="s">
        <v>20</v>
      </c>
      <c r="G453" s="2">
        <v>2</v>
      </c>
      <c r="H453" s="3">
        <f t="shared" si="46"/>
        <v>345000</v>
      </c>
      <c r="I453" s="4">
        <f t="shared" si="42"/>
        <v>27600</v>
      </c>
      <c r="J453" s="4">
        <f t="shared" si="43"/>
        <v>10350</v>
      </c>
      <c r="K453" s="4">
        <v>13550</v>
      </c>
      <c r="L453" s="4">
        <f t="shared" si="44"/>
        <v>793000</v>
      </c>
      <c r="M453" s="4">
        <f t="shared" si="47"/>
        <v>634400</v>
      </c>
      <c r="N453" s="5">
        <f t="shared" si="45"/>
        <v>158600</v>
      </c>
    </row>
    <row r="454" spans="1:14" x14ac:dyDescent="0.35">
      <c r="A454" t="s">
        <v>490</v>
      </c>
      <c r="B454" s="7">
        <v>45410</v>
      </c>
      <c r="C454" s="2" t="s">
        <v>16</v>
      </c>
      <c r="D454" s="2" t="s">
        <v>30</v>
      </c>
      <c r="E454" s="2" t="s">
        <v>31</v>
      </c>
      <c r="F454" t="s">
        <v>21</v>
      </c>
      <c r="G454" s="2">
        <v>4</v>
      </c>
      <c r="H454" s="3">
        <f t="shared" si="46"/>
        <v>359000</v>
      </c>
      <c r="I454" s="4">
        <f t="shared" si="42"/>
        <v>28720</v>
      </c>
      <c r="J454" s="4">
        <f t="shared" si="43"/>
        <v>10770</v>
      </c>
      <c r="K454" s="4">
        <v>5327</v>
      </c>
      <c r="L454" s="4">
        <f t="shared" si="44"/>
        <v>1615268</v>
      </c>
      <c r="M454" s="4">
        <f t="shared" si="47"/>
        <v>1292214.4000000001</v>
      </c>
      <c r="N454" s="5">
        <f t="shared" si="45"/>
        <v>323053.59999999986</v>
      </c>
    </row>
    <row r="455" spans="1:14" x14ac:dyDescent="0.35">
      <c r="A455" t="s">
        <v>491</v>
      </c>
      <c r="B455" s="7">
        <v>45428</v>
      </c>
      <c r="C455" s="2" t="s">
        <v>16</v>
      </c>
      <c r="D455" s="2" t="s">
        <v>32</v>
      </c>
      <c r="E455" s="2" t="s">
        <v>33</v>
      </c>
      <c r="F455" t="s">
        <v>19</v>
      </c>
      <c r="G455" s="2">
        <v>1</v>
      </c>
      <c r="H455" s="3">
        <f t="shared" si="46"/>
        <v>319000</v>
      </c>
      <c r="I455" s="4">
        <f t="shared" si="42"/>
        <v>25520</v>
      </c>
      <c r="J455" s="4">
        <f t="shared" si="43"/>
        <v>9570</v>
      </c>
      <c r="K455" s="4">
        <v>24291</v>
      </c>
      <c r="L455" s="4">
        <f t="shared" si="44"/>
        <v>378381</v>
      </c>
      <c r="M455" s="4">
        <f t="shared" si="47"/>
        <v>302704.8</v>
      </c>
      <c r="N455" s="5">
        <f t="shared" si="45"/>
        <v>75676.200000000012</v>
      </c>
    </row>
    <row r="456" spans="1:14" x14ac:dyDescent="0.35">
      <c r="A456" t="s">
        <v>492</v>
      </c>
      <c r="B456" s="7">
        <v>45547</v>
      </c>
      <c r="C456" s="2" t="s">
        <v>17</v>
      </c>
      <c r="D456" s="2" t="s">
        <v>34</v>
      </c>
      <c r="E456" s="2" t="s">
        <v>35</v>
      </c>
      <c r="F456" t="s">
        <v>21</v>
      </c>
      <c r="G456" s="2">
        <v>5</v>
      </c>
      <c r="H456" s="3">
        <f t="shared" si="46"/>
        <v>359000</v>
      </c>
      <c r="I456" s="4">
        <f t="shared" si="42"/>
        <v>28720</v>
      </c>
      <c r="J456" s="4">
        <f t="shared" si="43"/>
        <v>10770</v>
      </c>
      <c r="K456" s="4">
        <v>11105</v>
      </c>
      <c r="L456" s="4">
        <f t="shared" si="44"/>
        <v>2047975</v>
      </c>
      <c r="M456" s="4">
        <f t="shared" si="47"/>
        <v>1638380</v>
      </c>
      <c r="N456" s="5">
        <f t="shared" si="45"/>
        <v>409595</v>
      </c>
    </row>
    <row r="457" spans="1:14" x14ac:dyDescent="0.35">
      <c r="A457" t="s">
        <v>493</v>
      </c>
      <c r="B457" s="7">
        <v>45508</v>
      </c>
      <c r="C457" s="2" t="s">
        <v>18</v>
      </c>
      <c r="D457" s="2" t="s">
        <v>36</v>
      </c>
      <c r="E457" s="2" t="s">
        <v>37</v>
      </c>
      <c r="F457" t="s">
        <v>21</v>
      </c>
      <c r="G457" s="2">
        <v>2</v>
      </c>
      <c r="H457" s="3">
        <f t="shared" si="46"/>
        <v>359000</v>
      </c>
      <c r="I457" s="4">
        <f t="shared" si="42"/>
        <v>28720</v>
      </c>
      <c r="J457" s="4">
        <f t="shared" si="43"/>
        <v>10770</v>
      </c>
      <c r="K457" s="4">
        <v>24970</v>
      </c>
      <c r="L457" s="4">
        <f t="shared" si="44"/>
        <v>846920</v>
      </c>
      <c r="M457" s="4">
        <f t="shared" si="47"/>
        <v>677536</v>
      </c>
      <c r="N457" s="5">
        <f t="shared" si="45"/>
        <v>169384</v>
      </c>
    </row>
    <row r="458" spans="1:14" x14ac:dyDescent="0.35">
      <c r="A458" t="s">
        <v>494</v>
      </c>
      <c r="B458" s="7">
        <v>45603</v>
      </c>
      <c r="C458" s="2" t="s">
        <v>14</v>
      </c>
      <c r="D458" s="2" t="s">
        <v>22</v>
      </c>
      <c r="E458" s="2" t="s">
        <v>23</v>
      </c>
      <c r="F458" t="s">
        <v>19</v>
      </c>
      <c r="G458" s="2">
        <v>3</v>
      </c>
      <c r="H458" s="3">
        <f t="shared" si="46"/>
        <v>319000</v>
      </c>
      <c r="I458" s="4">
        <f t="shared" ref="I458:I521" si="48">H458*0.08</f>
        <v>25520</v>
      </c>
      <c r="J458" s="4">
        <f t="shared" ref="J458:J500" si="49">H458*0.03</f>
        <v>9570</v>
      </c>
      <c r="K458" s="4">
        <v>20074</v>
      </c>
      <c r="L458" s="4">
        <f t="shared" ref="L458:L521" si="50">G458*(H458+I458+J458+K458)</f>
        <v>1122492</v>
      </c>
      <c r="M458" s="4">
        <f t="shared" si="47"/>
        <v>897993.60000000009</v>
      </c>
      <c r="N458" s="5">
        <f t="shared" ref="N458:N521" si="51">L458-M458</f>
        <v>224498.39999999991</v>
      </c>
    </row>
    <row r="459" spans="1:14" x14ac:dyDescent="0.35">
      <c r="A459" t="s">
        <v>495</v>
      </c>
      <c r="B459" s="7">
        <v>45644</v>
      </c>
      <c r="C459" s="2" t="s">
        <v>14</v>
      </c>
      <c r="D459" s="2" t="s">
        <v>24</v>
      </c>
      <c r="E459" s="2" t="s">
        <v>25</v>
      </c>
      <c r="F459" t="s">
        <v>20</v>
      </c>
      <c r="G459" s="2">
        <v>5</v>
      </c>
      <c r="H459" s="3">
        <f t="shared" si="46"/>
        <v>345000</v>
      </c>
      <c r="I459" s="4">
        <f t="shared" si="48"/>
        <v>27600</v>
      </c>
      <c r="J459" s="4">
        <f t="shared" si="49"/>
        <v>10350</v>
      </c>
      <c r="K459" s="4">
        <v>22794</v>
      </c>
      <c r="L459" s="4">
        <f t="shared" si="50"/>
        <v>2028720</v>
      </c>
      <c r="M459" s="4">
        <f t="shared" si="47"/>
        <v>1622976</v>
      </c>
      <c r="N459" s="5">
        <f t="shared" si="51"/>
        <v>405744</v>
      </c>
    </row>
    <row r="460" spans="1:14" x14ac:dyDescent="0.35">
      <c r="A460" t="s">
        <v>496</v>
      </c>
      <c r="B460" s="7">
        <v>45433</v>
      </c>
      <c r="C460" s="2" t="s">
        <v>15</v>
      </c>
      <c r="D460" s="2" t="s">
        <v>26</v>
      </c>
      <c r="E460" s="2" t="s">
        <v>27</v>
      </c>
      <c r="F460" t="s">
        <v>21</v>
      </c>
      <c r="G460" s="2">
        <v>4</v>
      </c>
      <c r="H460" s="3">
        <f t="shared" si="46"/>
        <v>359000</v>
      </c>
      <c r="I460" s="4">
        <f t="shared" si="48"/>
        <v>28720</v>
      </c>
      <c r="J460" s="4">
        <f t="shared" si="49"/>
        <v>10770</v>
      </c>
      <c r="K460" s="4">
        <v>15722</v>
      </c>
      <c r="L460" s="4">
        <f t="shared" si="50"/>
        <v>1656848</v>
      </c>
      <c r="M460" s="4">
        <f t="shared" si="47"/>
        <v>1325478.4000000001</v>
      </c>
      <c r="N460" s="5">
        <f t="shared" si="51"/>
        <v>331369.59999999986</v>
      </c>
    </row>
    <row r="461" spans="1:14" x14ac:dyDescent="0.35">
      <c r="A461" t="s">
        <v>497</v>
      </c>
      <c r="B461" s="7">
        <v>45505</v>
      </c>
      <c r="C461" s="2" t="s">
        <v>15</v>
      </c>
      <c r="D461" s="2" t="s">
        <v>28</v>
      </c>
      <c r="E461" s="2" t="s">
        <v>29</v>
      </c>
      <c r="F461" t="s">
        <v>20</v>
      </c>
      <c r="G461" s="2">
        <v>5</v>
      </c>
      <c r="H461" s="3">
        <f t="shared" si="46"/>
        <v>345000</v>
      </c>
      <c r="I461" s="4">
        <f t="shared" si="48"/>
        <v>27600</v>
      </c>
      <c r="J461" s="4">
        <f t="shared" si="49"/>
        <v>10350</v>
      </c>
      <c r="K461" s="4">
        <v>22729</v>
      </c>
      <c r="L461" s="4">
        <f t="shared" si="50"/>
        <v>2028395</v>
      </c>
      <c r="M461" s="4">
        <f t="shared" si="47"/>
        <v>1622716</v>
      </c>
      <c r="N461" s="5">
        <f t="shared" si="51"/>
        <v>405679</v>
      </c>
    </row>
    <row r="462" spans="1:14" x14ac:dyDescent="0.35">
      <c r="A462" t="s">
        <v>498</v>
      </c>
      <c r="B462" s="7">
        <v>45520</v>
      </c>
      <c r="C462" s="2" t="s">
        <v>16</v>
      </c>
      <c r="D462" s="2" t="s">
        <v>30</v>
      </c>
      <c r="E462" s="2" t="s">
        <v>31</v>
      </c>
      <c r="F462" t="s">
        <v>21</v>
      </c>
      <c r="G462" s="2">
        <v>5</v>
      </c>
      <c r="H462" s="3">
        <f t="shared" si="46"/>
        <v>359000</v>
      </c>
      <c r="I462" s="4">
        <f t="shared" si="48"/>
        <v>28720</v>
      </c>
      <c r="J462" s="4">
        <f t="shared" si="49"/>
        <v>10770</v>
      </c>
      <c r="K462" s="4">
        <v>23388</v>
      </c>
      <c r="L462" s="4">
        <f t="shared" si="50"/>
        <v>2109390</v>
      </c>
      <c r="M462" s="4">
        <f t="shared" si="47"/>
        <v>1687512</v>
      </c>
      <c r="N462" s="5">
        <f t="shared" si="51"/>
        <v>421878</v>
      </c>
    </row>
    <row r="463" spans="1:14" x14ac:dyDescent="0.35">
      <c r="A463" t="s">
        <v>499</v>
      </c>
      <c r="B463" s="7">
        <v>45496</v>
      </c>
      <c r="C463" s="2" t="s">
        <v>16</v>
      </c>
      <c r="D463" s="2" t="s">
        <v>32</v>
      </c>
      <c r="E463" s="2" t="s">
        <v>33</v>
      </c>
      <c r="F463" t="s">
        <v>19</v>
      </c>
      <c r="G463" s="2">
        <v>4</v>
      </c>
      <c r="H463" s="3">
        <f t="shared" si="46"/>
        <v>319000</v>
      </c>
      <c r="I463" s="4">
        <f t="shared" si="48"/>
        <v>25520</v>
      </c>
      <c r="J463" s="4">
        <f t="shared" si="49"/>
        <v>9570</v>
      </c>
      <c r="K463" s="4">
        <v>14771</v>
      </c>
      <c r="L463" s="4">
        <f t="shared" si="50"/>
        <v>1475444</v>
      </c>
      <c r="M463" s="4">
        <f t="shared" si="47"/>
        <v>1180355.2</v>
      </c>
      <c r="N463" s="5">
        <f t="shared" si="51"/>
        <v>295088.80000000005</v>
      </c>
    </row>
    <row r="464" spans="1:14" x14ac:dyDescent="0.35">
      <c r="A464" t="s">
        <v>500</v>
      </c>
      <c r="B464" s="7">
        <v>45307</v>
      </c>
      <c r="C464" s="2" t="s">
        <v>17</v>
      </c>
      <c r="D464" s="2" t="s">
        <v>34</v>
      </c>
      <c r="E464" s="2" t="s">
        <v>35</v>
      </c>
      <c r="F464" t="s">
        <v>21</v>
      </c>
      <c r="G464" s="2">
        <v>5</v>
      </c>
      <c r="H464" s="3">
        <f t="shared" si="46"/>
        <v>359000</v>
      </c>
      <c r="I464" s="4">
        <f t="shared" si="48"/>
        <v>28720</v>
      </c>
      <c r="J464" s="4">
        <f t="shared" si="49"/>
        <v>10770</v>
      </c>
      <c r="K464" s="4">
        <v>16741</v>
      </c>
      <c r="L464" s="4">
        <f t="shared" si="50"/>
        <v>2076155</v>
      </c>
      <c r="M464" s="4">
        <f t="shared" si="47"/>
        <v>1660924</v>
      </c>
      <c r="N464" s="5">
        <f t="shared" si="51"/>
        <v>415231</v>
      </c>
    </row>
    <row r="465" spans="1:14" x14ac:dyDescent="0.35">
      <c r="A465" t="s">
        <v>501</v>
      </c>
      <c r="B465" s="7">
        <v>45639</v>
      </c>
      <c r="C465" s="2" t="s">
        <v>18</v>
      </c>
      <c r="D465" s="2" t="s">
        <v>36</v>
      </c>
      <c r="E465" s="2" t="s">
        <v>37</v>
      </c>
      <c r="F465" t="s">
        <v>21</v>
      </c>
      <c r="G465" s="2">
        <v>1</v>
      </c>
      <c r="H465" s="3">
        <f t="shared" si="46"/>
        <v>359000</v>
      </c>
      <c r="I465" s="4">
        <f t="shared" si="48"/>
        <v>28720</v>
      </c>
      <c r="J465" s="4">
        <f t="shared" si="49"/>
        <v>10770</v>
      </c>
      <c r="K465" s="4">
        <v>12636</v>
      </c>
      <c r="L465" s="4">
        <f t="shared" si="50"/>
        <v>411126</v>
      </c>
      <c r="M465" s="4">
        <f t="shared" si="47"/>
        <v>328900.80000000005</v>
      </c>
      <c r="N465" s="5">
        <f t="shared" si="51"/>
        <v>82225.199999999953</v>
      </c>
    </row>
    <row r="466" spans="1:14" x14ac:dyDescent="0.35">
      <c r="A466" t="s">
        <v>502</v>
      </c>
      <c r="B466" s="7">
        <v>45546</v>
      </c>
      <c r="C466" s="2" t="s">
        <v>14</v>
      </c>
      <c r="D466" s="2" t="s">
        <v>22</v>
      </c>
      <c r="E466" s="2" t="s">
        <v>23</v>
      </c>
      <c r="F466" t="s">
        <v>19</v>
      </c>
      <c r="G466" s="2">
        <v>1</v>
      </c>
      <c r="H466" s="3">
        <f t="shared" si="46"/>
        <v>319000</v>
      </c>
      <c r="I466" s="4">
        <f t="shared" si="48"/>
        <v>25520</v>
      </c>
      <c r="J466" s="4">
        <f t="shared" si="49"/>
        <v>9570</v>
      </c>
      <c r="K466" s="4">
        <v>16975</v>
      </c>
      <c r="L466" s="4">
        <f t="shared" si="50"/>
        <v>371065</v>
      </c>
      <c r="M466" s="4">
        <f t="shared" si="47"/>
        <v>296852</v>
      </c>
      <c r="N466" s="5">
        <f t="shared" si="51"/>
        <v>74213</v>
      </c>
    </row>
    <row r="467" spans="1:14" x14ac:dyDescent="0.35">
      <c r="A467" t="s">
        <v>503</v>
      </c>
      <c r="B467" s="7">
        <v>45407</v>
      </c>
      <c r="C467" s="2" t="s">
        <v>14</v>
      </c>
      <c r="D467" s="2" t="s">
        <v>24</v>
      </c>
      <c r="E467" s="2" t="s">
        <v>25</v>
      </c>
      <c r="F467" t="s">
        <v>20</v>
      </c>
      <c r="G467" s="2">
        <v>4</v>
      </c>
      <c r="H467" s="3">
        <f t="shared" si="46"/>
        <v>345000</v>
      </c>
      <c r="I467" s="4">
        <f t="shared" si="48"/>
        <v>27600</v>
      </c>
      <c r="J467" s="4">
        <f t="shared" si="49"/>
        <v>10350</v>
      </c>
      <c r="K467" s="4">
        <v>24043</v>
      </c>
      <c r="L467" s="4">
        <f t="shared" si="50"/>
        <v>1627972</v>
      </c>
      <c r="M467" s="4">
        <f t="shared" si="47"/>
        <v>1302377.6000000001</v>
      </c>
      <c r="N467" s="5">
        <f t="shared" si="51"/>
        <v>325594.39999999991</v>
      </c>
    </row>
    <row r="468" spans="1:14" x14ac:dyDescent="0.35">
      <c r="A468" t="s">
        <v>504</v>
      </c>
      <c r="B468" s="7">
        <v>45295</v>
      </c>
      <c r="C468" s="2" t="s">
        <v>15</v>
      </c>
      <c r="D468" s="2" t="s">
        <v>26</v>
      </c>
      <c r="E468" s="2" t="s">
        <v>27</v>
      </c>
      <c r="F468" t="s">
        <v>21</v>
      </c>
      <c r="G468" s="2">
        <v>1</v>
      </c>
      <c r="H468" s="3">
        <f t="shared" si="46"/>
        <v>359000</v>
      </c>
      <c r="I468" s="4">
        <f t="shared" si="48"/>
        <v>28720</v>
      </c>
      <c r="J468" s="4">
        <f t="shared" si="49"/>
        <v>10770</v>
      </c>
      <c r="K468" s="4">
        <v>20424</v>
      </c>
      <c r="L468" s="4">
        <f t="shared" si="50"/>
        <v>418914</v>
      </c>
      <c r="M468" s="4">
        <f t="shared" si="47"/>
        <v>335131.2</v>
      </c>
      <c r="N468" s="5">
        <f t="shared" si="51"/>
        <v>83782.799999999988</v>
      </c>
    </row>
    <row r="469" spans="1:14" x14ac:dyDescent="0.35">
      <c r="A469" t="s">
        <v>505</v>
      </c>
      <c r="B469" s="7">
        <v>45432</v>
      </c>
      <c r="C469" s="2" t="s">
        <v>15</v>
      </c>
      <c r="D469" s="2" t="s">
        <v>28</v>
      </c>
      <c r="E469" s="2" t="s">
        <v>29</v>
      </c>
      <c r="F469" t="s">
        <v>20</v>
      </c>
      <c r="G469" s="2">
        <v>3</v>
      </c>
      <c r="H469" s="3">
        <f t="shared" si="46"/>
        <v>345000</v>
      </c>
      <c r="I469" s="4">
        <f t="shared" si="48"/>
        <v>27600</v>
      </c>
      <c r="J469" s="4">
        <f t="shared" si="49"/>
        <v>10350</v>
      </c>
      <c r="K469" s="4">
        <v>15164</v>
      </c>
      <c r="L469" s="4">
        <f t="shared" si="50"/>
        <v>1194342</v>
      </c>
      <c r="M469" s="4">
        <f t="shared" si="47"/>
        <v>955473.60000000009</v>
      </c>
      <c r="N469" s="5">
        <f t="shared" si="51"/>
        <v>238868.39999999991</v>
      </c>
    </row>
    <row r="470" spans="1:14" x14ac:dyDescent="0.35">
      <c r="A470" t="s">
        <v>506</v>
      </c>
      <c r="B470" s="7">
        <v>45383</v>
      </c>
      <c r="C470" s="2" t="s">
        <v>16</v>
      </c>
      <c r="D470" s="2" t="s">
        <v>30</v>
      </c>
      <c r="E470" s="2" t="s">
        <v>31</v>
      </c>
      <c r="F470" t="s">
        <v>21</v>
      </c>
      <c r="G470" s="2">
        <v>5</v>
      </c>
      <c r="H470" s="3">
        <f t="shared" si="46"/>
        <v>359000</v>
      </c>
      <c r="I470" s="4">
        <f t="shared" si="48"/>
        <v>28720</v>
      </c>
      <c r="J470" s="4">
        <f t="shared" si="49"/>
        <v>10770</v>
      </c>
      <c r="K470" s="4">
        <v>18697</v>
      </c>
      <c r="L470" s="4">
        <f t="shared" si="50"/>
        <v>2085935</v>
      </c>
      <c r="M470" s="4">
        <f t="shared" si="47"/>
        <v>1668748</v>
      </c>
      <c r="N470" s="5">
        <f t="shared" si="51"/>
        <v>417187</v>
      </c>
    </row>
    <row r="471" spans="1:14" x14ac:dyDescent="0.35">
      <c r="A471" t="s">
        <v>507</v>
      </c>
      <c r="B471" s="7">
        <v>45387</v>
      </c>
      <c r="C471" s="2" t="s">
        <v>16</v>
      </c>
      <c r="D471" s="2" t="s">
        <v>32</v>
      </c>
      <c r="E471" s="2" t="s">
        <v>33</v>
      </c>
      <c r="F471" t="s">
        <v>19</v>
      </c>
      <c r="G471" s="2">
        <v>5</v>
      </c>
      <c r="H471" s="3">
        <f t="shared" si="46"/>
        <v>319000</v>
      </c>
      <c r="I471" s="4">
        <f t="shared" si="48"/>
        <v>25520</v>
      </c>
      <c r="J471" s="4">
        <f t="shared" si="49"/>
        <v>9570</v>
      </c>
      <c r="K471" s="4">
        <v>7056</v>
      </c>
      <c r="L471" s="4">
        <f t="shared" si="50"/>
        <v>1805730</v>
      </c>
      <c r="M471" s="4">
        <f t="shared" si="47"/>
        <v>1444584</v>
      </c>
      <c r="N471" s="5">
        <f t="shared" si="51"/>
        <v>361146</v>
      </c>
    </row>
    <row r="472" spans="1:14" x14ac:dyDescent="0.35">
      <c r="A472" t="s">
        <v>508</v>
      </c>
      <c r="B472" s="7">
        <v>45356</v>
      </c>
      <c r="C472" s="2" t="s">
        <v>17</v>
      </c>
      <c r="D472" s="2" t="s">
        <v>34</v>
      </c>
      <c r="E472" s="2" t="s">
        <v>35</v>
      </c>
      <c r="F472" t="s">
        <v>21</v>
      </c>
      <c r="G472" s="2">
        <v>4</v>
      </c>
      <c r="H472" s="3">
        <f t="shared" si="46"/>
        <v>359000</v>
      </c>
      <c r="I472" s="4">
        <f t="shared" si="48"/>
        <v>28720</v>
      </c>
      <c r="J472" s="4">
        <f t="shared" si="49"/>
        <v>10770</v>
      </c>
      <c r="K472" s="4">
        <v>14913</v>
      </c>
      <c r="L472" s="4">
        <f t="shared" si="50"/>
        <v>1653612</v>
      </c>
      <c r="M472" s="4">
        <f t="shared" si="47"/>
        <v>1322889.6000000001</v>
      </c>
      <c r="N472" s="5">
        <f t="shared" si="51"/>
        <v>330722.39999999991</v>
      </c>
    </row>
    <row r="473" spans="1:14" x14ac:dyDescent="0.35">
      <c r="A473" t="s">
        <v>509</v>
      </c>
      <c r="B473" s="7">
        <v>45641</v>
      </c>
      <c r="C473" s="2" t="s">
        <v>18</v>
      </c>
      <c r="D473" s="2" t="s">
        <v>36</v>
      </c>
      <c r="E473" s="2" t="s">
        <v>37</v>
      </c>
      <c r="F473" t="s">
        <v>21</v>
      </c>
      <c r="G473" s="2">
        <v>5</v>
      </c>
      <c r="H473" s="3">
        <f t="shared" si="46"/>
        <v>359000</v>
      </c>
      <c r="I473" s="4">
        <f t="shared" si="48"/>
        <v>28720</v>
      </c>
      <c r="J473" s="4">
        <f t="shared" si="49"/>
        <v>10770</v>
      </c>
      <c r="K473" s="4">
        <v>11939</v>
      </c>
      <c r="L473" s="4">
        <f t="shared" si="50"/>
        <v>2052145</v>
      </c>
      <c r="M473" s="4">
        <f t="shared" si="47"/>
        <v>1641716</v>
      </c>
      <c r="N473" s="5">
        <f t="shared" si="51"/>
        <v>410429</v>
      </c>
    </row>
    <row r="474" spans="1:14" x14ac:dyDescent="0.35">
      <c r="A474" t="s">
        <v>510</v>
      </c>
      <c r="B474" s="7">
        <v>45307</v>
      </c>
      <c r="C474" s="2" t="s">
        <v>14</v>
      </c>
      <c r="D474" s="2" t="s">
        <v>22</v>
      </c>
      <c r="E474" s="2" t="s">
        <v>23</v>
      </c>
      <c r="F474" t="s">
        <v>19</v>
      </c>
      <c r="G474" s="2">
        <v>1</v>
      </c>
      <c r="H474" s="3">
        <f t="shared" si="46"/>
        <v>319000</v>
      </c>
      <c r="I474" s="4">
        <f t="shared" si="48"/>
        <v>25520</v>
      </c>
      <c r="J474" s="4">
        <f t="shared" si="49"/>
        <v>9570</v>
      </c>
      <c r="K474" s="4">
        <v>22533</v>
      </c>
      <c r="L474" s="4">
        <f t="shared" si="50"/>
        <v>376623</v>
      </c>
      <c r="M474" s="4">
        <f t="shared" si="47"/>
        <v>301298.40000000002</v>
      </c>
      <c r="N474" s="5">
        <f t="shared" si="51"/>
        <v>75324.599999999977</v>
      </c>
    </row>
    <row r="475" spans="1:14" x14ac:dyDescent="0.35">
      <c r="A475" t="s">
        <v>511</v>
      </c>
      <c r="B475" s="7">
        <v>45437</v>
      </c>
      <c r="C475" s="2" t="s">
        <v>14</v>
      </c>
      <c r="D475" s="2" t="s">
        <v>24</v>
      </c>
      <c r="E475" s="2" t="s">
        <v>25</v>
      </c>
      <c r="F475" t="s">
        <v>20</v>
      </c>
      <c r="G475" s="2">
        <v>5</v>
      </c>
      <c r="H475" s="3">
        <f t="shared" si="46"/>
        <v>345000</v>
      </c>
      <c r="I475" s="4">
        <f t="shared" si="48"/>
        <v>27600</v>
      </c>
      <c r="J475" s="4">
        <f t="shared" si="49"/>
        <v>10350</v>
      </c>
      <c r="K475" s="4">
        <v>10178</v>
      </c>
      <c r="L475" s="4">
        <f t="shared" si="50"/>
        <v>1965640</v>
      </c>
      <c r="M475" s="4">
        <f t="shared" si="47"/>
        <v>1572512</v>
      </c>
      <c r="N475" s="5">
        <f t="shared" si="51"/>
        <v>393128</v>
      </c>
    </row>
    <row r="476" spans="1:14" x14ac:dyDescent="0.35">
      <c r="A476" t="s">
        <v>512</v>
      </c>
      <c r="B476" s="7">
        <v>45429</v>
      </c>
      <c r="C476" s="2" t="s">
        <v>15</v>
      </c>
      <c r="D476" s="2" t="s">
        <v>26</v>
      </c>
      <c r="E476" s="2" t="s">
        <v>27</v>
      </c>
      <c r="F476" t="s">
        <v>21</v>
      </c>
      <c r="G476" s="2">
        <v>1</v>
      </c>
      <c r="H476" s="3">
        <f t="shared" si="46"/>
        <v>359000</v>
      </c>
      <c r="I476" s="4">
        <f t="shared" si="48"/>
        <v>28720</v>
      </c>
      <c r="J476" s="4">
        <f t="shared" si="49"/>
        <v>10770</v>
      </c>
      <c r="K476" s="4">
        <v>19648</v>
      </c>
      <c r="L476" s="4">
        <f t="shared" si="50"/>
        <v>418138</v>
      </c>
      <c r="M476" s="4">
        <f t="shared" si="47"/>
        <v>334510.40000000002</v>
      </c>
      <c r="N476" s="5">
        <f t="shared" si="51"/>
        <v>83627.599999999977</v>
      </c>
    </row>
    <row r="477" spans="1:14" x14ac:dyDescent="0.35">
      <c r="A477" t="s">
        <v>513</v>
      </c>
      <c r="B477" s="7">
        <v>45492</v>
      </c>
      <c r="C477" s="2" t="s">
        <v>15</v>
      </c>
      <c r="D477" s="2" t="s">
        <v>28</v>
      </c>
      <c r="E477" s="2" t="s">
        <v>29</v>
      </c>
      <c r="F477" t="s">
        <v>20</v>
      </c>
      <c r="G477" s="2">
        <v>4</v>
      </c>
      <c r="H477" s="3">
        <f t="shared" si="46"/>
        <v>345000</v>
      </c>
      <c r="I477" s="4">
        <f t="shared" si="48"/>
        <v>27600</v>
      </c>
      <c r="J477" s="4">
        <f t="shared" si="49"/>
        <v>10350</v>
      </c>
      <c r="K477" s="4">
        <v>22852</v>
      </c>
      <c r="L477" s="4">
        <f t="shared" si="50"/>
        <v>1623208</v>
      </c>
      <c r="M477" s="4">
        <f t="shared" si="47"/>
        <v>1298566.4000000001</v>
      </c>
      <c r="N477" s="5">
        <f t="shared" si="51"/>
        <v>324641.59999999986</v>
      </c>
    </row>
    <row r="478" spans="1:14" x14ac:dyDescent="0.35">
      <c r="A478" t="s">
        <v>514</v>
      </c>
      <c r="B478" s="7">
        <v>45628</v>
      </c>
      <c r="C478" s="2" t="s">
        <v>16</v>
      </c>
      <c r="D478" s="2" t="s">
        <v>30</v>
      </c>
      <c r="E478" s="2" t="s">
        <v>31</v>
      </c>
      <c r="F478" t="s">
        <v>21</v>
      </c>
      <c r="G478" s="2">
        <v>3</v>
      </c>
      <c r="H478" s="3">
        <f t="shared" si="46"/>
        <v>359000</v>
      </c>
      <c r="I478" s="4">
        <f t="shared" si="48"/>
        <v>28720</v>
      </c>
      <c r="J478" s="4">
        <f t="shared" si="49"/>
        <v>10770</v>
      </c>
      <c r="K478" s="4">
        <v>10429</v>
      </c>
      <c r="L478" s="4">
        <f t="shared" si="50"/>
        <v>1226757</v>
      </c>
      <c r="M478" s="4">
        <f t="shared" si="47"/>
        <v>981405.60000000009</v>
      </c>
      <c r="N478" s="5">
        <f t="shared" si="51"/>
        <v>245351.39999999991</v>
      </c>
    </row>
    <row r="479" spans="1:14" x14ac:dyDescent="0.35">
      <c r="A479" t="s">
        <v>515</v>
      </c>
      <c r="B479" s="7">
        <v>45578</v>
      </c>
      <c r="C479" s="2" t="s">
        <v>16</v>
      </c>
      <c r="D479" s="2" t="s">
        <v>32</v>
      </c>
      <c r="E479" s="2" t="s">
        <v>33</v>
      </c>
      <c r="F479" t="s">
        <v>19</v>
      </c>
      <c r="G479" s="2">
        <v>3</v>
      </c>
      <c r="H479" s="3">
        <f t="shared" si="46"/>
        <v>319000</v>
      </c>
      <c r="I479" s="4">
        <f t="shared" si="48"/>
        <v>25520</v>
      </c>
      <c r="J479" s="4">
        <f t="shared" si="49"/>
        <v>9570</v>
      </c>
      <c r="K479" s="4">
        <v>12933</v>
      </c>
      <c r="L479" s="4">
        <f t="shared" si="50"/>
        <v>1101069</v>
      </c>
      <c r="M479" s="4">
        <f t="shared" si="47"/>
        <v>880855.20000000007</v>
      </c>
      <c r="N479" s="5">
        <f t="shared" si="51"/>
        <v>220213.79999999993</v>
      </c>
    </row>
    <row r="480" spans="1:14" x14ac:dyDescent="0.35">
      <c r="A480" t="s">
        <v>516</v>
      </c>
      <c r="B480" s="7">
        <v>45401</v>
      </c>
      <c r="C480" s="2" t="s">
        <v>17</v>
      </c>
      <c r="D480" s="2" t="s">
        <v>34</v>
      </c>
      <c r="E480" s="2" t="s">
        <v>35</v>
      </c>
      <c r="F480" t="s">
        <v>21</v>
      </c>
      <c r="G480" s="2">
        <v>1</v>
      </c>
      <c r="H480" s="3">
        <f t="shared" si="46"/>
        <v>359000</v>
      </c>
      <c r="I480" s="4">
        <f t="shared" si="48"/>
        <v>28720</v>
      </c>
      <c r="J480" s="4">
        <f t="shared" si="49"/>
        <v>10770</v>
      </c>
      <c r="K480" s="4">
        <v>12185</v>
      </c>
      <c r="L480" s="4">
        <f t="shared" si="50"/>
        <v>410675</v>
      </c>
      <c r="M480" s="4">
        <f t="shared" si="47"/>
        <v>328540</v>
      </c>
      <c r="N480" s="5">
        <f t="shared" si="51"/>
        <v>82135</v>
      </c>
    </row>
    <row r="481" spans="1:14" x14ac:dyDescent="0.35">
      <c r="A481" t="s">
        <v>517</v>
      </c>
      <c r="B481" s="7">
        <v>45480</v>
      </c>
      <c r="C481" s="2" t="s">
        <v>18</v>
      </c>
      <c r="D481" s="2" t="s">
        <v>36</v>
      </c>
      <c r="E481" s="2" t="s">
        <v>37</v>
      </c>
      <c r="F481" t="s">
        <v>21</v>
      </c>
      <c r="G481" s="2">
        <v>1</v>
      </c>
      <c r="H481" s="3">
        <f t="shared" si="46"/>
        <v>359000</v>
      </c>
      <c r="I481" s="4">
        <f t="shared" si="48"/>
        <v>28720</v>
      </c>
      <c r="J481" s="4">
        <f t="shared" si="49"/>
        <v>10770</v>
      </c>
      <c r="K481" s="4">
        <v>5366</v>
      </c>
      <c r="L481" s="4">
        <f t="shared" si="50"/>
        <v>403856</v>
      </c>
      <c r="M481" s="4">
        <f t="shared" si="47"/>
        <v>323084.80000000005</v>
      </c>
      <c r="N481" s="5">
        <f t="shared" si="51"/>
        <v>80771.199999999953</v>
      </c>
    </row>
    <row r="482" spans="1:14" x14ac:dyDescent="0.35">
      <c r="A482" t="s">
        <v>518</v>
      </c>
      <c r="B482" s="7">
        <v>45513</v>
      </c>
      <c r="C482" s="2" t="s">
        <v>14</v>
      </c>
      <c r="D482" s="2" t="s">
        <v>22</v>
      </c>
      <c r="E482" s="2" t="s">
        <v>23</v>
      </c>
      <c r="F482" t="s">
        <v>19</v>
      </c>
      <c r="G482" s="2">
        <v>3</v>
      </c>
      <c r="H482" s="3">
        <f t="shared" si="46"/>
        <v>319000</v>
      </c>
      <c r="I482" s="4">
        <f t="shared" si="48"/>
        <v>25520</v>
      </c>
      <c r="J482" s="4">
        <f t="shared" si="49"/>
        <v>9570</v>
      </c>
      <c r="K482" s="4">
        <v>22981</v>
      </c>
      <c r="L482" s="4">
        <f t="shared" si="50"/>
        <v>1131213</v>
      </c>
      <c r="M482" s="4">
        <f t="shared" si="47"/>
        <v>904970.4</v>
      </c>
      <c r="N482" s="5">
        <f t="shared" si="51"/>
        <v>226242.59999999998</v>
      </c>
    </row>
    <row r="483" spans="1:14" x14ac:dyDescent="0.35">
      <c r="A483" t="s">
        <v>519</v>
      </c>
      <c r="B483" s="7">
        <v>45416</v>
      </c>
      <c r="C483" s="2" t="s">
        <v>14</v>
      </c>
      <c r="D483" s="2" t="s">
        <v>24</v>
      </c>
      <c r="E483" s="2" t="s">
        <v>25</v>
      </c>
      <c r="F483" t="s">
        <v>20</v>
      </c>
      <c r="G483" s="2">
        <v>3</v>
      </c>
      <c r="H483" s="3">
        <f t="shared" si="46"/>
        <v>345000</v>
      </c>
      <c r="I483" s="4">
        <f t="shared" si="48"/>
        <v>27600</v>
      </c>
      <c r="J483" s="4">
        <f t="shared" si="49"/>
        <v>10350</v>
      </c>
      <c r="K483" s="4">
        <v>16578</v>
      </c>
      <c r="L483" s="4">
        <f t="shared" si="50"/>
        <v>1198584</v>
      </c>
      <c r="M483" s="4">
        <f t="shared" si="47"/>
        <v>958867.20000000007</v>
      </c>
      <c r="N483" s="5">
        <f t="shared" si="51"/>
        <v>239716.79999999993</v>
      </c>
    </row>
    <row r="484" spans="1:14" x14ac:dyDescent="0.35">
      <c r="A484" t="s">
        <v>520</v>
      </c>
      <c r="B484" s="7">
        <v>45370</v>
      </c>
      <c r="C484" s="2" t="s">
        <v>15</v>
      </c>
      <c r="D484" s="2" t="s">
        <v>26</v>
      </c>
      <c r="E484" s="2" t="s">
        <v>27</v>
      </c>
      <c r="F484" t="s">
        <v>21</v>
      </c>
      <c r="G484" s="2">
        <v>3</v>
      </c>
      <c r="H484" s="3">
        <f t="shared" si="46"/>
        <v>359000</v>
      </c>
      <c r="I484" s="4">
        <f t="shared" si="48"/>
        <v>28720</v>
      </c>
      <c r="J484" s="4">
        <f t="shared" si="49"/>
        <v>10770</v>
      </c>
      <c r="K484" s="4">
        <v>10164</v>
      </c>
      <c r="L484" s="4">
        <f t="shared" si="50"/>
        <v>1225962</v>
      </c>
      <c r="M484" s="4">
        <f t="shared" si="47"/>
        <v>980769.60000000009</v>
      </c>
      <c r="N484" s="5">
        <f t="shared" si="51"/>
        <v>245192.39999999991</v>
      </c>
    </row>
    <row r="485" spans="1:14" x14ac:dyDescent="0.35">
      <c r="A485" t="s">
        <v>521</v>
      </c>
      <c r="B485" s="7">
        <v>45445</v>
      </c>
      <c r="C485" s="2" t="s">
        <v>15</v>
      </c>
      <c r="D485" s="2" t="s">
        <v>28</v>
      </c>
      <c r="E485" s="2" t="s">
        <v>29</v>
      </c>
      <c r="F485" t="s">
        <v>20</v>
      </c>
      <c r="G485" s="2">
        <v>4</v>
      </c>
      <c r="H485" s="3">
        <f t="shared" si="46"/>
        <v>345000</v>
      </c>
      <c r="I485" s="4">
        <f t="shared" si="48"/>
        <v>27600</v>
      </c>
      <c r="J485" s="4">
        <f t="shared" si="49"/>
        <v>10350</v>
      </c>
      <c r="K485" s="4">
        <v>12302</v>
      </c>
      <c r="L485" s="4">
        <f t="shared" si="50"/>
        <v>1581008</v>
      </c>
      <c r="M485" s="4">
        <f t="shared" si="47"/>
        <v>1264806.4000000001</v>
      </c>
      <c r="N485" s="5">
        <f t="shared" si="51"/>
        <v>316201.59999999986</v>
      </c>
    </row>
    <row r="486" spans="1:14" x14ac:dyDescent="0.35">
      <c r="A486" t="s">
        <v>522</v>
      </c>
      <c r="B486" s="7">
        <v>45474</v>
      </c>
      <c r="C486" s="2" t="s">
        <v>16</v>
      </c>
      <c r="D486" s="2" t="s">
        <v>30</v>
      </c>
      <c r="E486" s="2" t="s">
        <v>31</v>
      </c>
      <c r="F486" t="s">
        <v>21</v>
      </c>
      <c r="G486" s="2">
        <v>1</v>
      </c>
      <c r="H486" s="3">
        <f t="shared" si="46"/>
        <v>359000</v>
      </c>
      <c r="I486" s="4">
        <f t="shared" si="48"/>
        <v>28720</v>
      </c>
      <c r="J486" s="4">
        <f t="shared" si="49"/>
        <v>10770</v>
      </c>
      <c r="K486" s="4">
        <v>16642</v>
      </c>
      <c r="L486" s="4">
        <f t="shared" si="50"/>
        <v>415132</v>
      </c>
      <c r="M486" s="4">
        <f t="shared" si="47"/>
        <v>332105.60000000003</v>
      </c>
      <c r="N486" s="5">
        <f t="shared" si="51"/>
        <v>83026.399999999965</v>
      </c>
    </row>
    <row r="487" spans="1:14" x14ac:dyDescent="0.35">
      <c r="A487" t="s">
        <v>523</v>
      </c>
      <c r="B487" s="7">
        <v>45330</v>
      </c>
      <c r="C487" s="2" t="s">
        <v>16</v>
      </c>
      <c r="D487" s="2" t="s">
        <v>32</v>
      </c>
      <c r="E487" s="2" t="s">
        <v>33</v>
      </c>
      <c r="F487" t="s">
        <v>19</v>
      </c>
      <c r="G487" s="2">
        <v>1</v>
      </c>
      <c r="H487" s="3">
        <f t="shared" si="46"/>
        <v>319000</v>
      </c>
      <c r="I487" s="4">
        <f t="shared" si="48"/>
        <v>25520</v>
      </c>
      <c r="J487" s="4">
        <f t="shared" si="49"/>
        <v>9570</v>
      </c>
      <c r="K487" s="4">
        <v>24760</v>
      </c>
      <c r="L487" s="4">
        <f t="shared" si="50"/>
        <v>378850</v>
      </c>
      <c r="M487" s="4">
        <f t="shared" si="47"/>
        <v>303080</v>
      </c>
      <c r="N487" s="5">
        <f t="shared" si="51"/>
        <v>75770</v>
      </c>
    </row>
    <row r="488" spans="1:14" x14ac:dyDescent="0.35">
      <c r="A488" t="s">
        <v>524</v>
      </c>
      <c r="B488" s="7">
        <v>45612</v>
      </c>
      <c r="C488" s="2" t="s">
        <v>17</v>
      </c>
      <c r="D488" s="2" t="s">
        <v>34</v>
      </c>
      <c r="E488" s="2" t="s">
        <v>35</v>
      </c>
      <c r="F488" t="s">
        <v>21</v>
      </c>
      <c r="G488" s="2">
        <v>5</v>
      </c>
      <c r="H488" s="3">
        <f t="shared" si="46"/>
        <v>359000</v>
      </c>
      <c r="I488" s="4">
        <f t="shared" si="48"/>
        <v>28720</v>
      </c>
      <c r="J488" s="4">
        <f t="shared" si="49"/>
        <v>10770</v>
      </c>
      <c r="K488" s="4">
        <v>9012</v>
      </c>
      <c r="L488" s="4">
        <f t="shared" si="50"/>
        <v>2037510</v>
      </c>
      <c r="M488" s="4">
        <f t="shared" si="47"/>
        <v>1630008</v>
      </c>
      <c r="N488" s="5">
        <f t="shared" si="51"/>
        <v>407502</v>
      </c>
    </row>
    <row r="489" spans="1:14" x14ac:dyDescent="0.35">
      <c r="A489" t="s">
        <v>525</v>
      </c>
      <c r="B489" s="7">
        <v>45575</v>
      </c>
      <c r="C489" s="2" t="s">
        <v>18</v>
      </c>
      <c r="D489" s="2" t="s">
        <v>36</v>
      </c>
      <c r="E489" s="2" t="s">
        <v>37</v>
      </c>
      <c r="F489" t="s">
        <v>21</v>
      </c>
      <c r="G489" s="2">
        <v>1</v>
      </c>
      <c r="H489" s="3">
        <f t="shared" si="46"/>
        <v>359000</v>
      </c>
      <c r="I489" s="4">
        <f t="shared" si="48"/>
        <v>28720</v>
      </c>
      <c r="J489" s="4">
        <f t="shared" si="49"/>
        <v>10770</v>
      </c>
      <c r="K489" s="4">
        <v>18934</v>
      </c>
      <c r="L489" s="4">
        <f t="shared" si="50"/>
        <v>417424</v>
      </c>
      <c r="M489" s="4">
        <f t="shared" si="47"/>
        <v>333939.20000000001</v>
      </c>
      <c r="N489" s="5">
        <f t="shared" si="51"/>
        <v>83484.799999999988</v>
      </c>
    </row>
    <row r="490" spans="1:14" x14ac:dyDescent="0.35">
      <c r="A490" t="s">
        <v>526</v>
      </c>
      <c r="B490" s="7">
        <v>45422</v>
      </c>
      <c r="C490" s="2" t="s">
        <v>14</v>
      </c>
      <c r="D490" s="2" t="s">
        <v>22</v>
      </c>
      <c r="E490" s="2" t="s">
        <v>23</v>
      </c>
      <c r="F490" t="s">
        <v>19</v>
      </c>
      <c r="G490" s="2">
        <v>5</v>
      </c>
      <c r="H490" s="3">
        <f t="shared" si="46"/>
        <v>319000</v>
      </c>
      <c r="I490" s="4">
        <f t="shared" si="48"/>
        <v>25520</v>
      </c>
      <c r="J490" s="4">
        <f t="shared" si="49"/>
        <v>9570</v>
      </c>
      <c r="K490" s="4">
        <v>17177</v>
      </c>
      <c r="L490" s="4">
        <f t="shared" si="50"/>
        <v>1856335</v>
      </c>
      <c r="M490" s="4">
        <f t="shared" si="47"/>
        <v>1485068</v>
      </c>
      <c r="N490" s="5">
        <f t="shared" si="51"/>
        <v>371267</v>
      </c>
    </row>
    <row r="491" spans="1:14" x14ac:dyDescent="0.35">
      <c r="A491" t="s">
        <v>527</v>
      </c>
      <c r="B491" s="7">
        <v>45314</v>
      </c>
      <c r="C491" s="2" t="s">
        <v>14</v>
      </c>
      <c r="D491" s="2" t="s">
        <v>24</v>
      </c>
      <c r="E491" s="2" t="s">
        <v>25</v>
      </c>
      <c r="F491" t="s">
        <v>20</v>
      </c>
      <c r="G491" s="2">
        <v>4</v>
      </c>
      <c r="H491" s="3">
        <f t="shared" si="46"/>
        <v>345000</v>
      </c>
      <c r="I491" s="4">
        <f t="shared" si="48"/>
        <v>27600</v>
      </c>
      <c r="J491" s="4">
        <f t="shared" si="49"/>
        <v>10350</v>
      </c>
      <c r="K491" s="4">
        <v>7216</v>
      </c>
      <c r="L491" s="4">
        <f t="shared" si="50"/>
        <v>1560664</v>
      </c>
      <c r="M491" s="4">
        <f t="shared" si="47"/>
        <v>1248531.2</v>
      </c>
      <c r="N491" s="5">
        <f t="shared" si="51"/>
        <v>312132.80000000005</v>
      </c>
    </row>
    <row r="492" spans="1:14" x14ac:dyDescent="0.35">
      <c r="A492" t="s">
        <v>528</v>
      </c>
      <c r="B492" s="7">
        <v>45591</v>
      </c>
      <c r="C492" s="2" t="s">
        <v>15</v>
      </c>
      <c r="D492" s="2" t="s">
        <v>26</v>
      </c>
      <c r="E492" s="2" t="s">
        <v>27</v>
      </c>
      <c r="F492" t="s">
        <v>21</v>
      </c>
      <c r="G492" s="2">
        <v>2</v>
      </c>
      <c r="H492" s="3">
        <f t="shared" si="46"/>
        <v>359000</v>
      </c>
      <c r="I492" s="4">
        <f t="shared" si="48"/>
        <v>28720</v>
      </c>
      <c r="J492" s="4">
        <f t="shared" si="49"/>
        <v>10770</v>
      </c>
      <c r="K492" s="4">
        <v>16401</v>
      </c>
      <c r="L492" s="4">
        <f t="shared" si="50"/>
        <v>829782</v>
      </c>
      <c r="M492" s="4">
        <f t="shared" si="47"/>
        <v>663825.60000000009</v>
      </c>
      <c r="N492" s="5">
        <f t="shared" si="51"/>
        <v>165956.39999999991</v>
      </c>
    </row>
    <row r="493" spans="1:14" x14ac:dyDescent="0.35">
      <c r="A493" t="s">
        <v>529</v>
      </c>
      <c r="B493" s="7">
        <v>45449</v>
      </c>
      <c r="C493" s="2" t="s">
        <v>15</v>
      </c>
      <c r="D493" s="2" t="s">
        <v>28</v>
      </c>
      <c r="E493" s="2" t="s">
        <v>29</v>
      </c>
      <c r="F493" t="s">
        <v>20</v>
      </c>
      <c r="G493" s="2">
        <v>2</v>
      </c>
      <c r="H493" s="3">
        <f t="shared" si="46"/>
        <v>345000</v>
      </c>
      <c r="I493" s="4">
        <f t="shared" si="48"/>
        <v>27600</v>
      </c>
      <c r="J493" s="4">
        <f t="shared" si="49"/>
        <v>10350</v>
      </c>
      <c r="K493" s="4">
        <v>19980</v>
      </c>
      <c r="L493" s="4">
        <f t="shared" si="50"/>
        <v>805860</v>
      </c>
      <c r="M493" s="4">
        <f t="shared" si="47"/>
        <v>644688</v>
      </c>
      <c r="N493" s="5">
        <f t="shared" si="51"/>
        <v>161172</v>
      </c>
    </row>
    <row r="494" spans="1:14" x14ac:dyDescent="0.35">
      <c r="A494" t="s">
        <v>530</v>
      </c>
      <c r="B494" s="7">
        <v>45607</v>
      </c>
      <c r="C494" s="2" t="s">
        <v>16</v>
      </c>
      <c r="D494" s="2" t="s">
        <v>30</v>
      </c>
      <c r="E494" s="2" t="s">
        <v>31</v>
      </c>
      <c r="F494" t="s">
        <v>21</v>
      </c>
      <c r="G494" s="2">
        <v>2</v>
      </c>
      <c r="H494" s="3">
        <f t="shared" si="46"/>
        <v>359000</v>
      </c>
      <c r="I494" s="4">
        <f t="shared" si="48"/>
        <v>28720</v>
      </c>
      <c r="J494" s="4">
        <f t="shared" si="49"/>
        <v>10770</v>
      </c>
      <c r="K494" s="4">
        <v>16828</v>
      </c>
      <c r="L494" s="4">
        <f t="shared" si="50"/>
        <v>830636</v>
      </c>
      <c r="M494" s="4">
        <f t="shared" si="47"/>
        <v>664508.80000000005</v>
      </c>
      <c r="N494" s="5">
        <f t="shared" si="51"/>
        <v>166127.19999999995</v>
      </c>
    </row>
    <row r="495" spans="1:14" x14ac:dyDescent="0.35">
      <c r="A495" t="s">
        <v>531</v>
      </c>
      <c r="B495" s="7">
        <v>45399</v>
      </c>
      <c r="C495" s="2" t="s">
        <v>16</v>
      </c>
      <c r="D495" s="2" t="s">
        <v>32</v>
      </c>
      <c r="E495" s="2" t="s">
        <v>33</v>
      </c>
      <c r="F495" t="s">
        <v>19</v>
      </c>
      <c r="G495" s="2">
        <v>2</v>
      </c>
      <c r="H495" s="3">
        <f t="shared" si="46"/>
        <v>319000</v>
      </c>
      <c r="I495" s="4">
        <f t="shared" si="48"/>
        <v>25520</v>
      </c>
      <c r="J495" s="4">
        <f t="shared" si="49"/>
        <v>9570</v>
      </c>
      <c r="K495" s="4">
        <v>13739</v>
      </c>
      <c r="L495" s="4">
        <f t="shared" si="50"/>
        <v>735658</v>
      </c>
      <c r="M495" s="4">
        <f t="shared" si="47"/>
        <v>588526.4</v>
      </c>
      <c r="N495" s="5">
        <f t="shared" si="51"/>
        <v>147131.59999999998</v>
      </c>
    </row>
    <row r="496" spans="1:14" x14ac:dyDescent="0.35">
      <c r="A496" t="s">
        <v>532</v>
      </c>
      <c r="B496" s="7">
        <v>45631</v>
      </c>
      <c r="C496" s="2" t="s">
        <v>17</v>
      </c>
      <c r="D496" s="2" t="s">
        <v>34</v>
      </c>
      <c r="E496" s="2" t="s">
        <v>35</v>
      </c>
      <c r="F496" t="s">
        <v>21</v>
      </c>
      <c r="G496" s="2">
        <v>1</v>
      </c>
      <c r="H496" s="3">
        <f t="shared" si="46"/>
        <v>359000</v>
      </c>
      <c r="I496" s="4">
        <f t="shared" si="48"/>
        <v>28720</v>
      </c>
      <c r="J496" s="4">
        <f t="shared" si="49"/>
        <v>10770</v>
      </c>
      <c r="K496" s="4">
        <v>12526</v>
      </c>
      <c r="L496" s="4">
        <f t="shared" si="50"/>
        <v>411016</v>
      </c>
      <c r="M496" s="4">
        <f t="shared" si="47"/>
        <v>328812.80000000005</v>
      </c>
      <c r="N496" s="5">
        <f t="shared" si="51"/>
        <v>82203.199999999953</v>
      </c>
    </row>
    <row r="497" spans="1:14" x14ac:dyDescent="0.35">
      <c r="A497" t="s">
        <v>533</v>
      </c>
      <c r="B497" s="7">
        <v>45488</v>
      </c>
      <c r="C497" s="2" t="s">
        <v>18</v>
      </c>
      <c r="D497" s="2" t="s">
        <v>36</v>
      </c>
      <c r="E497" s="2" t="s">
        <v>37</v>
      </c>
      <c r="F497" t="s">
        <v>21</v>
      </c>
      <c r="G497" s="2">
        <v>3</v>
      </c>
      <c r="H497" s="3">
        <f t="shared" si="46"/>
        <v>359000</v>
      </c>
      <c r="I497" s="4">
        <f t="shared" si="48"/>
        <v>28720</v>
      </c>
      <c r="J497" s="4">
        <f t="shared" si="49"/>
        <v>10770</v>
      </c>
      <c r="K497" s="4">
        <v>16998</v>
      </c>
      <c r="L497" s="4">
        <f t="shared" si="50"/>
        <v>1246464</v>
      </c>
      <c r="M497" s="4">
        <f t="shared" si="47"/>
        <v>997171.20000000007</v>
      </c>
      <c r="N497" s="5">
        <f t="shared" si="51"/>
        <v>249292.79999999993</v>
      </c>
    </row>
    <row r="498" spans="1:14" x14ac:dyDescent="0.35">
      <c r="A498" t="s">
        <v>534</v>
      </c>
      <c r="B498" s="7">
        <v>45548</v>
      </c>
      <c r="C498" s="2" t="s">
        <v>14</v>
      </c>
      <c r="D498" s="2" t="s">
        <v>22</v>
      </c>
      <c r="E498" s="2" t="s">
        <v>23</v>
      </c>
      <c r="F498" t="s">
        <v>19</v>
      </c>
      <c r="G498" s="2">
        <v>3</v>
      </c>
      <c r="H498" s="3">
        <f t="shared" si="46"/>
        <v>319000</v>
      </c>
      <c r="I498" s="4">
        <f t="shared" si="48"/>
        <v>25520</v>
      </c>
      <c r="J498" s="4">
        <f t="shared" si="49"/>
        <v>9570</v>
      </c>
      <c r="K498" s="4">
        <v>5768</v>
      </c>
      <c r="L498" s="4">
        <f t="shared" si="50"/>
        <v>1079574</v>
      </c>
      <c r="M498" s="4">
        <f t="shared" si="47"/>
        <v>863659.20000000007</v>
      </c>
      <c r="N498" s="5">
        <f t="shared" si="51"/>
        <v>215914.79999999993</v>
      </c>
    </row>
    <row r="499" spans="1:14" x14ac:dyDescent="0.35">
      <c r="A499" t="s">
        <v>535</v>
      </c>
      <c r="B499" s="7">
        <v>45360</v>
      </c>
      <c r="C499" s="2" t="s">
        <v>14</v>
      </c>
      <c r="D499" s="2" t="s">
        <v>24</v>
      </c>
      <c r="E499" s="2" t="s">
        <v>25</v>
      </c>
      <c r="F499" t="s">
        <v>20</v>
      </c>
      <c r="G499" s="2">
        <v>1</v>
      </c>
      <c r="H499" s="3">
        <f t="shared" si="46"/>
        <v>345000</v>
      </c>
      <c r="I499" s="4">
        <f t="shared" si="48"/>
        <v>27600</v>
      </c>
      <c r="J499" s="4">
        <f t="shared" si="49"/>
        <v>10350</v>
      </c>
      <c r="K499" s="4">
        <v>8487</v>
      </c>
      <c r="L499" s="4">
        <f t="shared" si="50"/>
        <v>391437</v>
      </c>
      <c r="M499" s="4">
        <f t="shared" si="47"/>
        <v>313149.60000000003</v>
      </c>
      <c r="N499" s="5">
        <f t="shared" si="51"/>
        <v>78287.399999999965</v>
      </c>
    </row>
    <row r="500" spans="1:14" x14ac:dyDescent="0.35">
      <c r="A500" t="s">
        <v>536</v>
      </c>
      <c r="B500" s="7">
        <v>45523</v>
      </c>
      <c r="C500" s="2" t="s">
        <v>15</v>
      </c>
      <c r="D500" s="2" t="s">
        <v>26</v>
      </c>
      <c r="E500" s="2" t="s">
        <v>27</v>
      </c>
      <c r="F500" t="s">
        <v>21</v>
      </c>
      <c r="G500" s="2">
        <v>4</v>
      </c>
      <c r="H500" s="3">
        <f t="shared" si="46"/>
        <v>359000</v>
      </c>
      <c r="I500" s="4">
        <f t="shared" si="48"/>
        <v>28720</v>
      </c>
      <c r="J500" s="4">
        <f t="shared" si="49"/>
        <v>10770</v>
      </c>
      <c r="K500" s="4">
        <v>12949</v>
      </c>
      <c r="L500" s="4">
        <f t="shared" si="50"/>
        <v>1645756</v>
      </c>
      <c r="M500" s="4">
        <f t="shared" si="47"/>
        <v>1316604.8</v>
      </c>
      <c r="N500" s="5">
        <f t="shared" si="51"/>
        <v>329151.19999999995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2026-03-02T05:45:43Z</dcterms:created>
  <dcterms:modified xsi:type="dcterms:W3CDTF">2026-03-02T14:10:46Z</dcterms:modified>
</cp:coreProperties>
</file>